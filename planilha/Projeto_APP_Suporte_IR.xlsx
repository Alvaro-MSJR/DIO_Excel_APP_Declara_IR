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b5f693d92bc71a/1_DIO/BOOTCAMP_SANTANDER_EXCEL_IA/Modulo_2_Aula_1_a_7/"/>
    </mc:Choice>
  </mc:AlternateContent>
  <xr:revisionPtr revIDLastSave="128" documentId="8_{63AD18A3-C8B2-4924-9182-FC89151D5BDE}" xr6:coauthVersionLast="47" xr6:coauthVersionMax="47" xr10:uidLastSave="{42DFA8C1-3D34-40D2-922A-2B532B84395E}"/>
  <bookViews>
    <workbookView xWindow="2715" yWindow="2805" windowWidth="22440" windowHeight="11505" tabRatio="0" xr2:uid="{8CD44592-F7E4-4421-A69E-13CB3BFC66CA}"/>
  </bookViews>
  <sheets>
    <sheet name="Títular" sheetId="5" r:id="rId1"/>
    <sheet name="Informes" sheetId="2" r:id="rId2"/>
    <sheet name="Notas" sheetId="3" r:id="rId3"/>
    <sheet name="Análise" sheetId="9" r:id="rId4"/>
    <sheet name="TABELAS" sheetId="6" r:id="rId5"/>
  </sheets>
  <definedNames>
    <definedName name="_xlcn.WorksheetConnection_Projeto_APP_Suporte_IR.xlsxTabela21" hidden="1">Tabela2[]</definedName>
    <definedName name="SegmentaçãodeDados_CATEGORIA">#N/A</definedName>
    <definedName name="SegmentaçãodeDados_Trimestre">#N/A</definedName>
  </definedNames>
  <calcPr calcId="181029" iterate="1"/>
  <pivotCaches>
    <pivotCache cacheId="537" r:id="rId6"/>
  </pivotCaches>
  <extLst>
    <ext xmlns:x14="http://schemas.microsoft.com/office/spreadsheetml/2009/9/main" uri="{876F7934-8845-4945-9796-88D515C7AA90}">
      <x14:pivotCaches>
        <pivotCache cacheId="452" r:id="rId7"/>
      </x14:pivotCaches>
    </ex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2" name="Tabela2" connection="WorksheetConnection_Projeto_APP_Suporte_IR.xlsx!Tabela2"/>
        </x15:modelTables>
      </x15:dataModel>
    </ext>
  </extLst>
</workbook>
</file>

<file path=xl/calcChain.xml><?xml version="1.0" encoding="utf-8"?>
<calcChain xmlns="http://schemas.openxmlformats.org/spreadsheetml/2006/main">
  <c r="E6" i="3" l="1"/>
  <c r="F7" i="6"/>
  <c r="F6" i="6"/>
  <c r="F5" i="6"/>
  <c r="F4" i="6"/>
  <c r="F3" i="6"/>
  <c r="E7" i="6"/>
  <c r="E6" i="6"/>
  <c r="E5" i="6"/>
  <c r="E4" i="6"/>
  <c r="E3" i="6"/>
  <c r="F2" i="6"/>
  <c r="E2" i="6"/>
  <c r="C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Alvaro</author>
  </authors>
  <commentList>
    <comment ref="D11" authorId="0" shapeId="0" xr:uid="{21A52149-8A61-47F2-BF69-613C2B320311}">
      <text>
        <r>
          <rPr>
            <sz val="9"/>
            <color indexed="81"/>
            <rFont val="Segoe UI"/>
            <family val="2"/>
          </rPr>
          <t xml:space="preserve">Anexar o documento que o Banco e/ou Instituição de Pagamento disponibilizou.
</t>
        </r>
      </text>
    </comment>
    <comment ref="D16" authorId="0" shapeId="0" xr:uid="{2177DDBD-01D0-442D-B0DE-0D50ABA006ED}">
      <text>
        <r>
          <rPr>
            <sz val="9"/>
            <color indexed="81"/>
            <rFont val="Segoe UI"/>
            <family val="2"/>
          </rPr>
          <t xml:space="preserve">Anexar o documento que o Banco e/ou Instituição de Pagamento disponibilizou.
</t>
        </r>
      </text>
    </comment>
    <comment ref="D21" authorId="0" shapeId="0" xr:uid="{33933F8F-F294-4CDA-852E-11565CBC5812}">
      <text>
        <r>
          <rPr>
            <sz val="9"/>
            <color indexed="81"/>
            <rFont val="Segoe UI"/>
            <family val="2"/>
          </rPr>
          <t xml:space="preserve">Anexar o documento que o Banco e/ou Instituição de Pagamento disponibilizou.
</t>
        </r>
      </text>
    </comment>
    <comment ref="D26" authorId="0" shapeId="0" xr:uid="{3E0B726F-E189-47AE-B8F6-A392E4EF8863}">
      <text>
        <r>
          <rPr>
            <sz val="9"/>
            <color indexed="81"/>
            <rFont val="Segoe UI"/>
            <family val="2"/>
          </rPr>
          <t xml:space="preserve">Anexar o documento que o Banco e/ou Instituição de Pagamento disponibilizou.
</t>
        </r>
      </text>
    </comment>
    <comment ref="D31" authorId="0" shapeId="0" xr:uid="{D0092996-8BD0-4040-B755-8B4B0FA0C534}">
      <text>
        <r>
          <rPr>
            <sz val="9"/>
            <color indexed="81"/>
            <rFont val="Segoe UI"/>
            <family val="2"/>
          </rPr>
          <t xml:space="preserve">Anexar o documento que o Banco e/ou Instituição de Pagamento disponibilizou.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7C365C-CC42-48A5-A4D7-DE219774F0A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55DAB85-2184-4931-ADC4-D57BD5B9871D}" name="WorksheetConnection_Projeto_APP_Suporte_IR.xlsx!Tabela2" type="102" refreshedVersion="8" minRefreshableVersion="5">
    <extLst>
      <ext xmlns:x15="http://schemas.microsoft.com/office/spreadsheetml/2010/11/main" uri="{DE250136-89BD-433C-8126-D09CA5730AF9}">
        <x15:connection id="Tabela2">
          <x15:rangePr sourceName="_xlcn.WorksheetConnection_Projeto_APP_Suporte_IR.xlsxTabe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abela2].[CATEGORIA NAO VAIZA].&amp;[True]}"/>
    <s v="{[Tabela2].[Trimestre calculado].&amp;[True]}"/>
    <s v="{[Tabela2].[Bimestre Calculado].&amp;[True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<sst xmlns="http://schemas.openxmlformats.org/spreadsheetml/2006/main" count="149" uniqueCount="112">
  <si>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</si>
  <si>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</si>
  <si>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</si>
  <si>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</si>
  <si>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</si>
  <si>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</si>
  <si>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</si>
  <si>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</si>
  <si>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</si>
  <si>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</si>
  <si>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</si>
  <si>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</si>
  <si>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</si>
  <si>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CÔNJUGE</t>
  </si>
  <si>
    <t>1. DADOS DO TITULAR</t>
  </si>
  <si>
    <t>Preencha os dados da pessoa física abaixo</t>
  </si>
  <si>
    <t>NÃO</t>
  </si>
  <si>
    <t>SIM</t>
  </si>
  <si>
    <t>Alfi Silveira</t>
  </si>
  <si>
    <t>alfi@hotmail.com</t>
  </si>
  <si>
    <t>Rua Santos 102,</t>
  </si>
  <si>
    <t>Rua Santos,102 Ap 401 Alameda - RJ</t>
  </si>
  <si>
    <t>Ale</t>
  </si>
  <si>
    <t>2. INFORMES DE RENDIMENTOS BANCÁRIOS</t>
  </si>
  <si>
    <t>Preencha com os seus dados atuais de cada banco ou instituição de pagamento.</t>
  </si>
  <si>
    <t>BANCO</t>
  </si>
  <si>
    <t>VALOR ATUAL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</si>
  <si>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</si>
  <si>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</si>
  <si>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</si>
  <si>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</si>
  <si>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</si>
  <si>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</si>
  <si>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</si>
  <si>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</si>
  <si>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</si>
  <si>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</si>
  <si>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</si>
  <si>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</si>
  <si>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</si>
  <si>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</si>
  <si>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</si>
  <si>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</si>
  <si>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</si>
  <si>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</si>
  <si>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</si>
  <si>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</si>
  <si>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</si>
  <si>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</si>
  <si>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</si>
  <si>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</si>
  <si>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</si>
  <si>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</si>
  <si>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</si>
  <si>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</si>
  <si>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</si>
  <si>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</si>
  <si>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</si>
  <si>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</si>
  <si>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</si>
  <si>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</si>
  <si>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</si>
  <si>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</si>
  <si>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</si>
  <si>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</si>
  <si>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</si>
  <si>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</si>
  <si>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</si>
  <si>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</si>
  <si>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</si>
  <si>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</si>
  <si>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</si>
  <si>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</si>
  <si>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</si>
  <si>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</si>
  <si>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</si>
  <si>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</si>
  <si>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</si>
  <si>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</si>
  <si>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r>
      <t>1</t>
    </r>
    <r>
      <rPr>
        <b/>
        <vertAlign val="superscript"/>
        <sz val="11"/>
        <color theme="2" tint="-9.9978637043366805E-2"/>
        <rFont val="Calibri"/>
        <family val="2"/>
        <scheme val="minor"/>
      </rPr>
      <t>o</t>
    </r>
    <r>
      <rPr>
        <b/>
        <sz val="11"/>
        <color theme="2" tint="-9.9978637043366805E-2"/>
        <rFont val="Calibri"/>
        <family val="2"/>
        <scheme val="minor"/>
      </rPr>
      <t>.Banco</t>
    </r>
  </si>
  <si>
    <r>
      <t>2</t>
    </r>
    <r>
      <rPr>
        <b/>
        <vertAlign val="superscript"/>
        <sz val="11"/>
        <color theme="2" tint="-9.9978637043366805E-2"/>
        <rFont val="Calibri"/>
        <family val="2"/>
        <scheme val="minor"/>
      </rPr>
      <t>o</t>
    </r>
    <r>
      <rPr>
        <b/>
        <sz val="11"/>
        <color theme="2" tint="-9.9978637043366805E-2"/>
        <rFont val="Calibri"/>
        <family val="2"/>
        <scheme val="minor"/>
      </rPr>
      <t>.Banco</t>
    </r>
  </si>
  <si>
    <r>
      <t>3</t>
    </r>
    <r>
      <rPr>
        <b/>
        <vertAlign val="superscript"/>
        <sz val="11"/>
        <color theme="2" tint="-9.9978637043366805E-2"/>
        <rFont val="Calibri"/>
        <family val="2"/>
        <scheme val="minor"/>
      </rPr>
      <t>o</t>
    </r>
    <r>
      <rPr>
        <b/>
        <sz val="11"/>
        <color theme="2" tint="-9.9978637043366805E-2"/>
        <rFont val="Calibri"/>
        <family val="2"/>
        <scheme val="minor"/>
      </rPr>
      <t>.Banco</t>
    </r>
  </si>
  <si>
    <r>
      <t>4</t>
    </r>
    <r>
      <rPr>
        <b/>
        <vertAlign val="superscript"/>
        <sz val="11"/>
        <color theme="2" tint="-9.9978637043366805E-2"/>
        <rFont val="Calibri"/>
        <family val="2"/>
        <scheme val="minor"/>
      </rPr>
      <t>o</t>
    </r>
    <r>
      <rPr>
        <b/>
        <sz val="11"/>
        <color theme="2" tint="-9.9978637043366805E-2"/>
        <rFont val="Calibri"/>
        <family val="2"/>
        <scheme val="minor"/>
      </rPr>
      <t>.Banco</t>
    </r>
  </si>
  <si>
    <t>BANCO_PARA.PDF</t>
  </si>
  <si>
    <t>BANCO_C6.PDF</t>
  </si>
  <si>
    <t>BANCO_ITAU.PDF</t>
  </si>
  <si>
    <t>BANCO_LUSO_BRASILEIRO.PDF</t>
  </si>
  <si>
    <t>BANCO_SANTANDER.PDF</t>
  </si>
  <si>
    <r>
      <t>5</t>
    </r>
    <r>
      <rPr>
        <b/>
        <vertAlign val="superscript"/>
        <sz val="11"/>
        <color theme="2" tint="-9.9978637043366805E-2"/>
        <rFont val="Calibri"/>
        <family val="2"/>
        <scheme val="minor"/>
      </rPr>
      <t>o</t>
    </r>
    <r>
      <rPr>
        <b/>
        <sz val="11"/>
        <color theme="2" tint="-9.9978637043366805E-2"/>
        <rFont val="Calibri"/>
        <family val="2"/>
        <scheme val="minor"/>
      </rPr>
      <t>.Banco</t>
    </r>
  </si>
  <si>
    <t>TOTAL</t>
  </si>
  <si>
    <t>3. NOTAS BANCÁRIAS OU HOLERITES</t>
  </si>
  <si>
    <t>São todos os valores de entradas mensais de receita</t>
  </si>
  <si>
    <t>DATA</t>
  </si>
  <si>
    <t>CATEGORIA</t>
  </si>
  <si>
    <t>VALOR</t>
  </si>
  <si>
    <t>ENTRADAS</t>
  </si>
  <si>
    <t>Holerite</t>
  </si>
  <si>
    <t>PJ</t>
  </si>
  <si>
    <t>FreeLance</t>
  </si>
  <si>
    <t>Informes</t>
  </si>
  <si>
    <t>Trimestre</t>
  </si>
  <si>
    <t>Total Geral</t>
  </si>
  <si>
    <t>Categoria</t>
  </si>
  <si>
    <t>4. ANÁLISE DE LANÇAMENTOS</t>
  </si>
  <si>
    <t>T1</t>
  </si>
  <si>
    <t>T2</t>
  </si>
  <si>
    <t>T4</t>
  </si>
  <si>
    <t>CATEGORIA NAO VAIZA</t>
  </si>
  <si>
    <t>TRUE</t>
  </si>
  <si>
    <t>Trimestre calculado</t>
  </si>
  <si>
    <t>Bimestre Calculado</t>
  </si>
  <si>
    <t>Filtro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</si>
</sst>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0&quot;-&quot;0000"/>
    <numFmt numFmtId="167" formatCode="&quot;(&quot;00&quot;) &quot;0000&quot;-&quot;0000"/>
    <numFmt numFmtId="168" formatCode="&quot;R$&quot;\ #,##0.00"/>
    <numFmt numFmtId="169" formatCode="mmmm\-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11"/>
      <color theme="0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b/>
      <vertAlign val="superscript"/>
      <sz val="11"/>
      <color theme="2" tint="-9.9978637043366805E-2"/>
      <name val="Calibri"/>
      <family val="2"/>
      <scheme val="minor"/>
    </font>
    <font>
      <sz val="16"/>
      <color theme="7" tint="-0.499984740745262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ck">
        <color rgb="FF0070C0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1"/>
    <xf numFmtId="0" fontId="3" fillId="4" borderId="2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7" fillId="5" borderId="0" xfId="0" applyFont="1" applyFill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16" fillId="0" borderId="0" xfId="0" applyFont="1" applyAlignment="1">
      <alignment horizontal="center" vertical="center"/>
    </xf>
    <xf numFmtId="168" fontId="17" fillId="3" borderId="7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168" fontId="10" fillId="2" borderId="3" xfId="2" applyNumberFormat="1" applyFont="1" applyBorder="1" applyAlignment="1">
      <alignment horizontal="center" vertical="top"/>
    </xf>
    <xf numFmtId="0" fontId="2" fillId="0" borderId="6" xfId="1" applyBorder="1" applyAlignment="1">
      <alignment horizontal="left" vertical="top"/>
    </xf>
    <xf numFmtId="0" fontId="5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8" fillId="5" borderId="0" xfId="0" applyFont="1" applyFill="1" applyAlignment="1">
      <alignment horizontal="center" vertical="center"/>
    </xf>
    <xf numFmtId="0" fontId="0" fillId="2" borderId="2" xfId="2" applyFont="1" applyBorder="1" applyAlignment="1" applyProtection="1">
      <alignment horizontal="left" vertical="top"/>
      <protection locked="0"/>
    </xf>
    <xf numFmtId="164" fontId="1" fillId="2" borderId="3" xfId="2" applyNumberFormat="1" applyBorder="1" applyAlignment="1" applyProtection="1">
      <alignment horizontal="left" vertical="top"/>
      <protection locked="0"/>
    </xf>
    <xf numFmtId="14" fontId="0" fillId="2" borderId="3" xfId="2" applyNumberFormat="1" applyFont="1" applyBorder="1" applyAlignment="1" applyProtection="1">
      <alignment horizontal="left" vertical="top"/>
      <protection locked="0"/>
    </xf>
    <xf numFmtId="0" fontId="1" fillId="2" borderId="3" xfId="2" applyBorder="1" applyAlignment="1" applyProtection="1">
      <alignment horizontal="left" vertical="top"/>
      <protection locked="0"/>
    </xf>
    <xf numFmtId="0" fontId="0" fillId="2" borderId="3" xfId="2" applyFont="1" applyBorder="1" applyAlignment="1" applyProtection="1">
      <alignment horizontal="left" vertical="top"/>
      <protection locked="0"/>
    </xf>
    <xf numFmtId="165" fontId="1" fillId="2" borderId="3" xfId="2" applyNumberFormat="1" applyBorder="1" applyAlignment="1" applyProtection="1">
      <alignment horizontal="left" vertical="top"/>
      <protection locked="0"/>
    </xf>
    <xf numFmtId="167" fontId="1" fillId="2" borderId="3" xfId="2" applyNumberFormat="1" applyBorder="1" applyAlignment="1" applyProtection="1">
      <alignment horizontal="left" vertical="top"/>
      <protection locked="0"/>
    </xf>
    <xf numFmtId="166" fontId="1" fillId="2" borderId="3" xfId="2" applyNumberFormat="1" applyBorder="1" applyAlignment="1" applyProtection="1">
      <alignment horizontal="left" vertical="top"/>
      <protection locked="0"/>
    </xf>
    <xf numFmtId="0" fontId="4" fillId="2" borderId="3" xfId="3" applyFill="1" applyBorder="1" applyAlignment="1" applyProtection="1">
      <alignment horizontal="left" vertical="top"/>
      <protection locked="0"/>
    </xf>
    <xf numFmtId="0" fontId="1" fillId="2" borderId="4" xfId="2" applyBorder="1" applyAlignment="1" applyProtection="1">
      <alignment horizontal="left" vertical="top"/>
      <protection locked="0"/>
    </xf>
    <xf numFmtId="168" fontId="1" fillId="2" borderId="3" xfId="2" applyNumberFormat="1" applyBorder="1" applyAlignment="1" applyProtection="1">
      <alignment horizontal="left" vertical="top"/>
      <protection locked="0"/>
    </xf>
    <xf numFmtId="14" fontId="0" fillId="2" borderId="4" xfId="2" applyNumberFormat="1" applyFont="1" applyBorder="1" applyAlignment="1" applyProtection="1">
      <alignment horizontal="left" vertical="top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9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8" fontId="13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8" fontId="0" fillId="0" borderId="0" xfId="0" applyNumberFormat="1" applyProtection="1">
      <protection locked="0"/>
    </xf>
    <xf numFmtId="0" fontId="2" fillId="0" borderId="0" xfId="1" applyBorder="1" applyAlignment="1" applyProtection="1">
      <alignment horizontal="left" vertical="top"/>
      <protection locked="0"/>
    </xf>
    <xf numFmtId="0" fontId="5" fillId="3" borderId="0" xfId="0" applyFont="1" applyFill="1" applyAlignment="1" applyProtection="1">
      <alignment horizontal="center"/>
      <protection locked="0"/>
    </xf>
    <xf numFmtId="0" fontId="0" fillId="0" borderId="0" xfId="0" pivotButton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4" fillId="0" borderId="0" xfId="0" pivotButton="1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pivotButton="1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4">
    <cellStyle name="40% - Ênfase4" xfId="2" builtinId="43"/>
    <cellStyle name="Hiperlink" xfId="3" builtinId="8"/>
    <cellStyle name="Normal" xfId="0" builtinId="0"/>
    <cellStyle name="Título 1" xfId="1" builtinId="16"/>
  </cellStyles>
  <dxfs count="125">
    <dxf>
      <numFmt numFmtId="168" formatCode="&quot;R$&quot;\ #,##0.00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68" formatCode="&quot;R$&quot;\ #,##0.00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68" formatCode="&quot;R$&quot;\ #,##0.00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68" formatCode="&quot;R$&quot;\ #,##0.00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68" formatCode="&quot;R$&quot;\ #,##0.00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numFmt numFmtId="168" formatCode="&quot;R$&quot;\ #,##0.0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0" formatCode="mmm\-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ADF212"/>
      <color rgb="FF9E1FE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de Renda por Banco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722222222222227E-2"/>
          <c:y val="0.2359453516997726"/>
          <c:w val="0.86666666666666659"/>
          <c:h val="0.55753243255094309"/>
        </c:manualLayout>
      </c:layout>
      <c:pie3DChart>
        <c:varyColors val="1"/>
        <c:ser>
          <c:idx val="0"/>
          <c:order val="0"/>
          <c:tx>
            <c:strRef>
              <c:f>TABELAS!$F$2</c:f>
              <c:strCache>
                <c:ptCount val="1"/>
                <c:pt idx="0">
                  <c:v>VALOR ATUAL</c:v>
                </c:pt>
              </c:strCache>
            </c:strRef>
          </c:tx>
          <c:explosion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F65-4CAD-84DC-1FFB1BC1CA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F65-4CAD-84DC-1FFB1BC1CA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F65-4CAD-84DC-1FFB1BC1CA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F65-4CAD-84DC-1FFB1BC1CA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F65-4CAD-84DC-1FFB1BC1CACF}"/>
              </c:ext>
            </c:extLst>
          </c:dPt>
          <c:dLbls>
            <c:dLbl>
              <c:idx val="0"/>
              <c:layout>
                <c:manualLayout>
                  <c:x val="-3.6234033245844267E-2"/>
                  <c:y val="-8.127555484135939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65-4CAD-84DC-1FFB1BC1CACF}"/>
                </c:ext>
              </c:extLst>
            </c:dLbl>
            <c:dLbl>
              <c:idx val="1"/>
              <c:layout>
                <c:manualLayout>
                  <c:x val="-2.830446194225732E-2"/>
                  <c:y val="3.003053189779849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65-4CAD-84DC-1FFB1BC1CACF}"/>
                </c:ext>
              </c:extLst>
            </c:dLbl>
            <c:dLbl>
              <c:idx val="2"/>
              <c:layout>
                <c:manualLayout>
                  <c:x val="-0.12840813648293964"/>
                  <c:y val="-0.10452336315103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65-4CAD-84DC-1FFB1BC1CACF}"/>
                </c:ext>
              </c:extLst>
            </c:dLbl>
            <c:dLbl>
              <c:idx val="3"/>
              <c:layout>
                <c:manualLayout>
                  <c:x val="0.11553477690288712"/>
                  <c:y val="-0.231888871033977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65-4CAD-84DC-1FFB1BC1CACF}"/>
                </c:ext>
              </c:extLst>
            </c:dLbl>
            <c:dLbl>
              <c:idx val="4"/>
              <c:layout>
                <c:manualLayout>
                  <c:x val="4.3564523184601876E-2"/>
                  <c:y val="-2.106070074574011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65-4CAD-84DC-1FFB1BC1CAC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TABELAS!$E$3:$E$7</c:f>
              <c:strCache>
                <c:ptCount val="5"/>
                <c:pt idx="0">
                  <c:v>37 - Banco do Estado do Pará</c:v>
                </c:pt>
                <c:pt idx="1">
                  <c:v>336 - C6 Bank</c:v>
                </c:pt>
                <c:pt idx="2">
                  <c:v>341 - Itaú Unibanco</c:v>
                </c:pt>
                <c:pt idx="3">
                  <c:v>600 - Banco Luso Brasileiro</c:v>
                </c:pt>
                <c:pt idx="4">
                  <c:v>33 - Banco Santander</c:v>
                </c:pt>
              </c:strCache>
            </c:strRef>
          </c:cat>
          <c:val>
            <c:numRef>
              <c:f>TABELAS!$F$3:$F$7</c:f>
              <c:numCache>
                <c:formatCode>"R$"\ #,##0.00</c:formatCode>
                <c:ptCount val="5"/>
                <c:pt idx="0">
                  <c:v>95428</c:v>
                </c:pt>
                <c:pt idx="1">
                  <c:v>70012.34</c:v>
                </c:pt>
                <c:pt idx="2">
                  <c:v>175823</c:v>
                </c:pt>
                <c:pt idx="3">
                  <c:v>254234.3</c:v>
                </c:pt>
                <c:pt idx="4">
                  <c:v>34399.9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65-4CAD-84DC-1FFB1BC1CA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[Projeto_APP_Suporte_IR.xlsx]Análise!Tabela dinâmica25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Renda por Categoria e Trimestre</a:t>
            </a:r>
            <a:endParaRPr lang="pt-BR"/>
          </a:p>
        </c:rich>
      </c:tx>
      <c:layout>
        <c:manualLayout>
          <c:xMode val="edge"/>
          <c:yMode val="edge"/>
          <c:x val="9.4951224846894139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7.4999999999999997E-2"/>
              <c:y val="-9.2592592592593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Análise!$D$11:$D$12</c:f>
              <c:strCache>
                <c:ptCount val="1"/>
                <c:pt idx="0">
                  <c:v>T1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Análise!$C$13:$C$14</c:f>
              <c:strCache>
                <c:ptCount val="1"/>
                <c:pt idx="0">
                  <c:v>FreeLance</c:v>
                </c:pt>
              </c:strCache>
            </c:strRef>
          </c:cat>
          <c:val>
            <c:numRef>
              <c:f>Análise!$D$13:$D$14</c:f>
              <c:numCache>
                <c:formatCode>"R$"\ #,##0.00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0-42AE-A822-01885C247D3F}"/>
            </c:ext>
          </c:extLst>
        </c:ser>
        <c:ser>
          <c:idx val="1"/>
          <c:order val="1"/>
          <c:tx>
            <c:strRef>
              <c:f>Análise!$E$11:$E$12</c:f>
              <c:strCache>
                <c:ptCount val="1"/>
                <c:pt idx="0">
                  <c:v>T2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Análise!$C$13:$C$14</c:f>
              <c:strCache>
                <c:ptCount val="1"/>
                <c:pt idx="0">
                  <c:v>FreeLance</c:v>
                </c:pt>
              </c:strCache>
            </c:strRef>
          </c:cat>
          <c:val>
            <c:numRef>
              <c:f>Análise!$E$13:$E$14</c:f>
              <c:numCache>
                <c:formatCode>"R$"\ #,##0.00</c:formatCode>
                <c:ptCount val="1"/>
                <c:pt idx="0">
                  <c:v>42571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0-42AE-A822-01885C247D3F}"/>
            </c:ext>
          </c:extLst>
        </c:ser>
        <c:ser>
          <c:idx val="2"/>
          <c:order val="2"/>
          <c:tx>
            <c:strRef>
              <c:f>Análise!$F$11:$F$12</c:f>
              <c:strCache>
                <c:ptCount val="1"/>
                <c:pt idx="0">
                  <c:v>T4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Análise!$C$13:$C$14</c:f>
              <c:strCache>
                <c:ptCount val="1"/>
                <c:pt idx="0">
                  <c:v>FreeLance</c:v>
                </c:pt>
              </c:strCache>
            </c:strRef>
          </c:cat>
          <c:val>
            <c:numRef>
              <c:f>Análise!$F$13:$F$14</c:f>
              <c:numCache>
                <c:formatCode>"R$"\ #,##0.00</c:formatCode>
                <c:ptCount val="1"/>
                <c:pt idx="0">
                  <c:v>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10-42AE-A822-01885C247D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62670272"/>
        <c:axId val="1462672672"/>
        <c:axId val="0"/>
      </c:bar3DChart>
      <c:catAx>
        <c:axId val="14626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2672672"/>
        <c:crosses val="autoZero"/>
        <c:auto val="1"/>
        <c:lblAlgn val="ctr"/>
        <c:lblOffset val="100"/>
        <c:noMultiLvlLbl val="0"/>
      </c:catAx>
      <c:valAx>
        <c:axId val="14626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26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&#237;tular!A1"/><Relationship Id="rId1" Type="http://schemas.openxmlformats.org/officeDocument/2006/relationships/image" Target="../media/image1.JP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alvaro-monteiro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C1"/><Relationship Id="rId3" Type="http://schemas.openxmlformats.org/officeDocument/2006/relationships/hyperlink" Target="#Informes!A1"/><Relationship Id="rId7" Type="http://schemas.openxmlformats.org/officeDocument/2006/relationships/hyperlink" Target="#T&#237;tular!C1"/><Relationship Id="rId2" Type="http://schemas.openxmlformats.org/officeDocument/2006/relationships/hyperlink" Target="#T&#237;tular!A1"/><Relationship Id="rId1" Type="http://schemas.openxmlformats.org/officeDocument/2006/relationships/image" Target="../media/image1.JP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alvaro-monteiro/" TargetMode="External"/><Relationship Id="rId4" Type="http://schemas.openxmlformats.org/officeDocument/2006/relationships/hyperlink" Target="#Notas!A1"/><Relationship Id="rId9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n&#225;lise!A1"/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&#237;tular!A1"/><Relationship Id="rId1" Type="http://schemas.openxmlformats.org/officeDocument/2006/relationships/image" Target="../media/image1.JP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alvaro-monteiro/" TargetMode="External"/><Relationship Id="rId4" Type="http://schemas.openxmlformats.org/officeDocument/2006/relationships/hyperlink" Target="#Not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chart" Target="../charts/chart2.xml"/><Relationship Id="rId2" Type="http://schemas.openxmlformats.org/officeDocument/2006/relationships/hyperlink" Target="#T&#237;tular!A1"/><Relationship Id="rId1" Type="http://schemas.openxmlformats.org/officeDocument/2006/relationships/image" Target="../media/image1.JP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alvaro-monteiro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39</xdr:row>
      <xdr:rowOff>152399</xdr:rowOff>
    </xdr:to>
    <xdr:sp macro="" textlink="">
      <xdr:nvSpPr>
        <xdr:cNvPr id="2" name="Fluxograma: Processo 1">
          <a:extLst>
            <a:ext uri="{FF2B5EF4-FFF2-40B4-BE49-F238E27FC236}">
              <a16:creationId xmlns:a16="http://schemas.microsoft.com/office/drawing/2014/main" id="{B258F1CE-FD24-4AFF-8E0F-6DD48944174C}"/>
            </a:ext>
          </a:extLst>
        </xdr:cNvPr>
        <xdr:cNvSpPr/>
      </xdr:nvSpPr>
      <xdr:spPr>
        <a:xfrm>
          <a:off x="0" y="0"/>
          <a:ext cx="2800350" cy="8391524"/>
        </a:xfrm>
        <a:prstGeom prst="flowChartProcess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800">
            <a:solidFill>
              <a:schemeClr val="accent4">
                <a:lumMod val="75000"/>
              </a:schemeClr>
            </a:solidFill>
            <a:latin typeface="Bauhaus 93" panose="04030905020B02020C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114299</xdr:colOff>
      <xdr:row>1</xdr:row>
      <xdr:rowOff>28575</xdr:rowOff>
    </xdr:from>
    <xdr:to>
      <xdr:col>0</xdr:col>
      <xdr:colOff>2962275</xdr:colOff>
      <xdr:row>4</xdr:row>
      <xdr:rowOff>66675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93DB76D-9206-4DAC-A492-2534F07B6388}"/>
            </a:ext>
          </a:extLst>
        </xdr:cNvPr>
        <xdr:cNvSpPr txBox="1"/>
      </xdr:nvSpPr>
      <xdr:spPr>
        <a:xfrm>
          <a:off x="114299" y="219075"/>
          <a:ext cx="2847976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100" b="1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I.R.  ADVANCE</a:t>
          </a:r>
          <a:r>
            <a:rPr lang="pt-BR" sz="2100" b="1" baseline="0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  APP</a:t>
          </a:r>
          <a:endParaRPr lang="pt-BR" sz="2100" b="1">
            <a:solidFill>
              <a:schemeClr val="accent4">
                <a:lumMod val="75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806259</xdr:colOff>
      <xdr:row>4</xdr:row>
      <xdr:rowOff>0</xdr:rowOff>
    </xdr:from>
    <xdr:to>
      <xdr:col>0</xdr:col>
      <xdr:colOff>2019300</xdr:colOff>
      <xdr:row>9</xdr:row>
      <xdr:rowOff>142876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4B9B1C-0B19-4EE2-9BAA-2397B9844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259" y="904875"/>
          <a:ext cx="1213041" cy="1285876"/>
        </a:xfrm>
        <a:prstGeom prst="rect">
          <a:avLst/>
        </a:prstGeom>
        <a:noFill/>
        <a:ln>
          <a:noFill/>
        </a:ln>
        <a:effectLst>
          <a:outerShdw blurRad="50800" dist="38100" dir="5400000" algn="t" rotWithShape="0">
            <a:schemeClr val="bg2">
              <a:alpha val="40000"/>
            </a:schemeClr>
          </a:outerShdw>
        </a:effectLst>
      </xdr:spPr>
    </xdr:pic>
    <xdr:clientData/>
  </xdr:twoCellAnchor>
  <xdr:twoCellAnchor editAs="absolute">
    <xdr:from>
      <xdr:col>0</xdr:col>
      <xdr:colOff>504825</xdr:colOff>
      <xdr:row>10</xdr:row>
      <xdr:rowOff>184715</xdr:rowOff>
    </xdr:from>
    <xdr:to>
      <xdr:col>0</xdr:col>
      <xdr:colOff>2190750</xdr:colOff>
      <xdr:row>13</xdr:row>
      <xdr:rowOff>53411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F17099-7CAB-4E82-9B8D-A7A83C51ACCC}"/>
            </a:ext>
          </a:extLst>
        </xdr:cNvPr>
        <xdr:cNvSpPr/>
      </xdr:nvSpPr>
      <xdr:spPr>
        <a:xfrm>
          <a:off x="504825" y="2470715"/>
          <a:ext cx="1685925" cy="583071"/>
        </a:xfrm>
        <a:prstGeom prst="roundRect">
          <a:avLst>
            <a:gd name="adj" fmla="val 45834"/>
          </a:avLst>
        </a:prstGeom>
        <a:gradFill>
          <a:gsLst>
            <a:gs pos="96000">
              <a:schemeClr val="accent4">
                <a:lumMod val="20000"/>
                <a:lumOff val="80000"/>
              </a:schemeClr>
            </a:gs>
            <a:gs pos="0">
              <a:schemeClr val="accent4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504825</xdr:colOff>
      <xdr:row>13</xdr:row>
      <xdr:rowOff>228187</xdr:rowOff>
    </xdr:from>
    <xdr:to>
      <xdr:col>0</xdr:col>
      <xdr:colOff>2190750</xdr:colOff>
      <xdr:row>16</xdr:row>
      <xdr:rowOff>105189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2A9CF5-66FB-4F75-BB34-928B04588E98}"/>
            </a:ext>
          </a:extLst>
        </xdr:cNvPr>
        <xdr:cNvSpPr/>
      </xdr:nvSpPr>
      <xdr:spPr>
        <a:xfrm>
          <a:off x="504825" y="3228562"/>
          <a:ext cx="1685925" cy="591377"/>
        </a:xfrm>
        <a:prstGeom prst="roundRect">
          <a:avLst>
            <a:gd name="adj" fmla="val 47917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marL="0" indent="0"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504825</xdr:colOff>
      <xdr:row>16</xdr:row>
      <xdr:rowOff>231482</xdr:rowOff>
    </xdr:from>
    <xdr:to>
      <xdr:col>0</xdr:col>
      <xdr:colOff>2190750</xdr:colOff>
      <xdr:row>19</xdr:row>
      <xdr:rowOff>120943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7A2269-9E7B-4E23-ABB0-36B214710D2B}"/>
            </a:ext>
          </a:extLst>
        </xdr:cNvPr>
        <xdr:cNvSpPr/>
      </xdr:nvSpPr>
      <xdr:spPr>
        <a:xfrm>
          <a:off x="504825" y="3946232"/>
          <a:ext cx="1685925" cy="603836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marL="0" indent="0"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704850</xdr:colOff>
      <xdr:row>21</xdr:row>
      <xdr:rowOff>9525</xdr:rowOff>
    </xdr:from>
    <xdr:to>
      <xdr:col>0</xdr:col>
      <xdr:colOff>2133600</xdr:colOff>
      <xdr:row>22</xdr:row>
      <xdr:rowOff>95250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E7F096EE-72C8-4A0E-A156-99114D19567C}"/>
            </a:ext>
          </a:extLst>
        </xdr:cNvPr>
        <xdr:cNvSpPr txBox="1"/>
      </xdr:nvSpPr>
      <xdr:spPr>
        <a:xfrm>
          <a:off x="704850" y="4819650"/>
          <a:ext cx="14287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4">
                  <a:lumMod val="75000"/>
                </a:schemeClr>
              </a:solidFill>
            </a:rPr>
            <a:t>System</a:t>
          </a:r>
          <a:r>
            <a:rPr lang="pt-BR" sz="1400" b="1" baseline="0">
              <a:solidFill>
                <a:schemeClr val="accent4">
                  <a:lumMod val="75000"/>
                </a:schemeClr>
              </a:solidFill>
            </a:rPr>
            <a:t> By AMS</a:t>
          </a:r>
          <a:endParaRPr lang="pt-BR" sz="14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342900</xdr:colOff>
      <xdr:row>20</xdr:row>
      <xdr:rowOff>104775</xdr:rowOff>
    </xdr:from>
    <xdr:to>
      <xdr:col>0</xdr:col>
      <xdr:colOff>2495550</xdr:colOff>
      <xdr:row>20</xdr:row>
      <xdr:rowOff>150494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6E3251B-B20F-4E7E-B65D-B4D549288CF2}"/>
            </a:ext>
          </a:extLst>
        </xdr:cNvPr>
        <xdr:cNvSpPr/>
      </xdr:nvSpPr>
      <xdr:spPr>
        <a:xfrm>
          <a:off x="342900" y="4724400"/>
          <a:ext cx="2152650" cy="45719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1186313</xdr:colOff>
      <xdr:row>24</xdr:row>
      <xdr:rowOff>28575</xdr:rowOff>
    </xdr:from>
    <xdr:to>
      <xdr:col>0</xdr:col>
      <xdr:colOff>1457325</xdr:colOff>
      <xdr:row>25</xdr:row>
      <xdr:rowOff>114299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B64010-5190-4519-8CEE-47FFE0EC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313" y="5410200"/>
          <a:ext cx="271012" cy="276224"/>
        </a:xfrm>
        <a:prstGeom prst="rect">
          <a:avLst/>
        </a:prstGeom>
      </xdr:spPr>
    </xdr:pic>
    <xdr:clientData/>
  </xdr:twoCellAnchor>
  <xdr:twoCellAnchor editAs="absolute">
    <xdr:from>
      <xdr:col>2</xdr:col>
      <xdr:colOff>3428999</xdr:colOff>
      <xdr:row>19</xdr:row>
      <xdr:rowOff>142875</xdr:rowOff>
    </xdr:from>
    <xdr:to>
      <xdr:col>4</xdr:col>
      <xdr:colOff>9524</xdr:colOff>
      <xdr:row>21</xdr:row>
      <xdr:rowOff>142875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1FF670-418C-2316-DAC2-CEB9244E4AD6}"/>
            </a:ext>
          </a:extLst>
        </xdr:cNvPr>
        <xdr:cNvSpPr/>
      </xdr:nvSpPr>
      <xdr:spPr>
        <a:xfrm>
          <a:off x="6829424" y="4572000"/>
          <a:ext cx="3476625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36</xdr:row>
      <xdr:rowOff>171449</xdr:rowOff>
    </xdr:to>
    <xdr:sp macro="" textlink="">
      <xdr:nvSpPr>
        <xdr:cNvPr id="2" name="Fluxograma: Processo 1">
          <a:extLst>
            <a:ext uri="{FF2B5EF4-FFF2-40B4-BE49-F238E27FC236}">
              <a16:creationId xmlns:a16="http://schemas.microsoft.com/office/drawing/2014/main" id="{592CD9AF-1D3D-456C-AFCD-F41504D50C46}"/>
            </a:ext>
          </a:extLst>
        </xdr:cNvPr>
        <xdr:cNvSpPr/>
      </xdr:nvSpPr>
      <xdr:spPr>
        <a:xfrm>
          <a:off x="0" y="0"/>
          <a:ext cx="2800350" cy="8391524"/>
        </a:xfrm>
        <a:prstGeom prst="flowChartProcess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800">
            <a:solidFill>
              <a:schemeClr val="accent4">
                <a:lumMod val="75000"/>
              </a:schemeClr>
            </a:solidFill>
            <a:latin typeface="Bauhaus 93" panose="04030905020B02020C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114299</xdr:colOff>
      <xdr:row>1</xdr:row>
      <xdr:rowOff>28575</xdr:rowOff>
    </xdr:from>
    <xdr:to>
      <xdr:col>0</xdr:col>
      <xdr:colOff>2962275</xdr:colOff>
      <xdr:row>7</xdr:row>
      <xdr:rowOff>66675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E98C7AC-28EC-4213-85B6-A8BB5E18F519}"/>
            </a:ext>
          </a:extLst>
        </xdr:cNvPr>
        <xdr:cNvSpPr txBox="1"/>
      </xdr:nvSpPr>
      <xdr:spPr>
        <a:xfrm>
          <a:off x="114299" y="219075"/>
          <a:ext cx="2847976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100" b="1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I.R.  ADVANCE</a:t>
          </a:r>
          <a:r>
            <a:rPr lang="pt-BR" sz="2100" b="1" baseline="0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  APP</a:t>
          </a:r>
          <a:endParaRPr lang="pt-BR" sz="2100" b="1">
            <a:solidFill>
              <a:schemeClr val="accent4">
                <a:lumMod val="75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806259</xdr:colOff>
      <xdr:row>4</xdr:row>
      <xdr:rowOff>0</xdr:rowOff>
    </xdr:from>
    <xdr:to>
      <xdr:col>0</xdr:col>
      <xdr:colOff>2019300</xdr:colOff>
      <xdr:row>8</xdr:row>
      <xdr:rowOff>133351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0D1998E-8787-4C64-ABE2-0FD0D50B4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259" y="904875"/>
          <a:ext cx="1213041" cy="1285876"/>
        </a:xfrm>
        <a:prstGeom prst="rect">
          <a:avLst/>
        </a:prstGeom>
        <a:noFill/>
        <a:ln>
          <a:noFill/>
        </a:ln>
        <a:effectLst>
          <a:outerShdw blurRad="50800" dist="38100" dir="5400000" algn="t" rotWithShape="0">
            <a:schemeClr val="bg2">
              <a:alpha val="40000"/>
            </a:schemeClr>
          </a:outerShdw>
        </a:effectLst>
      </xdr:spPr>
    </xdr:pic>
    <xdr:clientData/>
  </xdr:twoCellAnchor>
  <xdr:twoCellAnchor editAs="absolute">
    <xdr:from>
      <xdr:col>0</xdr:col>
      <xdr:colOff>504825</xdr:colOff>
      <xdr:row>9</xdr:row>
      <xdr:rowOff>175190</xdr:rowOff>
    </xdr:from>
    <xdr:to>
      <xdr:col>0</xdr:col>
      <xdr:colOff>2190750</xdr:colOff>
      <xdr:row>12</xdr:row>
      <xdr:rowOff>91511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FD28F2-5CCC-4006-B535-CD557C1EB146}"/>
            </a:ext>
          </a:extLst>
        </xdr:cNvPr>
        <xdr:cNvSpPr/>
      </xdr:nvSpPr>
      <xdr:spPr>
        <a:xfrm>
          <a:off x="504825" y="2470715"/>
          <a:ext cx="1685925" cy="583071"/>
        </a:xfrm>
        <a:prstGeom prst="roundRect">
          <a:avLst>
            <a:gd name="adj" fmla="val 4583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504825</xdr:colOff>
      <xdr:row>13</xdr:row>
      <xdr:rowOff>47212</xdr:rowOff>
    </xdr:from>
    <xdr:to>
      <xdr:col>0</xdr:col>
      <xdr:colOff>2190750</xdr:colOff>
      <xdr:row>15</xdr:row>
      <xdr:rowOff>162339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0B4E9E-BACD-498A-88B1-690A4D82E48B}"/>
            </a:ext>
          </a:extLst>
        </xdr:cNvPr>
        <xdr:cNvSpPr/>
      </xdr:nvSpPr>
      <xdr:spPr>
        <a:xfrm>
          <a:off x="504825" y="3228562"/>
          <a:ext cx="1685925" cy="591377"/>
        </a:xfrm>
        <a:prstGeom prst="roundRect">
          <a:avLst>
            <a:gd name="adj" fmla="val 47917"/>
          </a:avLst>
        </a:prstGeom>
        <a:gradFill>
          <a:gsLst>
            <a:gs pos="96000">
              <a:schemeClr val="accent4">
                <a:lumMod val="20000"/>
                <a:lumOff val="80000"/>
              </a:schemeClr>
            </a:gs>
            <a:gs pos="0">
              <a:schemeClr val="accent4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marL="0" indent="0"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504825</xdr:colOff>
      <xdr:row>16</xdr:row>
      <xdr:rowOff>50507</xdr:rowOff>
    </xdr:from>
    <xdr:to>
      <xdr:col>0</xdr:col>
      <xdr:colOff>2190750</xdr:colOff>
      <xdr:row>19</xdr:row>
      <xdr:rowOff>6643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D0526B-3F5C-484E-8366-CE61312F28DE}"/>
            </a:ext>
          </a:extLst>
        </xdr:cNvPr>
        <xdr:cNvSpPr/>
      </xdr:nvSpPr>
      <xdr:spPr>
        <a:xfrm>
          <a:off x="504825" y="3946232"/>
          <a:ext cx="1685925" cy="603836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marL="0" indent="0"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704850</xdr:colOff>
      <xdr:row>20</xdr:row>
      <xdr:rowOff>38100</xdr:rowOff>
    </xdr:from>
    <xdr:to>
      <xdr:col>0</xdr:col>
      <xdr:colOff>2133600</xdr:colOff>
      <xdr:row>21</xdr:row>
      <xdr:rowOff>76200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56E98C4-547D-42DA-B3A9-FC01C4F316C1}"/>
            </a:ext>
          </a:extLst>
        </xdr:cNvPr>
        <xdr:cNvSpPr txBox="1"/>
      </xdr:nvSpPr>
      <xdr:spPr>
        <a:xfrm>
          <a:off x="704850" y="4819650"/>
          <a:ext cx="14287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4">
                  <a:lumMod val="75000"/>
                </a:schemeClr>
              </a:solidFill>
            </a:rPr>
            <a:t>System</a:t>
          </a:r>
          <a:r>
            <a:rPr lang="pt-BR" sz="1400" b="1" baseline="0">
              <a:solidFill>
                <a:schemeClr val="accent4">
                  <a:lumMod val="75000"/>
                </a:schemeClr>
              </a:solidFill>
            </a:rPr>
            <a:t> By AMS</a:t>
          </a:r>
          <a:endParaRPr lang="pt-BR" sz="14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342900</xdr:colOff>
      <xdr:row>19</xdr:row>
      <xdr:rowOff>180975</xdr:rowOff>
    </xdr:from>
    <xdr:to>
      <xdr:col>0</xdr:col>
      <xdr:colOff>2495550</xdr:colOff>
      <xdr:row>19</xdr:row>
      <xdr:rowOff>226694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5F40D4BB-8F00-4041-AD85-F98D07F0F4A8}"/>
            </a:ext>
          </a:extLst>
        </xdr:cNvPr>
        <xdr:cNvSpPr/>
      </xdr:nvSpPr>
      <xdr:spPr>
        <a:xfrm>
          <a:off x="342900" y="4724400"/>
          <a:ext cx="2152650" cy="45719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1186313</xdr:colOff>
      <xdr:row>22</xdr:row>
      <xdr:rowOff>200025</xdr:rowOff>
    </xdr:from>
    <xdr:to>
      <xdr:col>0</xdr:col>
      <xdr:colOff>1457325</xdr:colOff>
      <xdr:row>24</xdr:row>
      <xdr:rowOff>19049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A29CE9-71A7-4306-B815-1279BA98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313" y="5410200"/>
          <a:ext cx="271012" cy="276224"/>
        </a:xfrm>
        <a:prstGeom prst="rect">
          <a:avLst/>
        </a:prstGeom>
      </xdr:spPr>
    </xdr:pic>
    <xdr:clientData/>
  </xdr:twoCellAnchor>
  <xdr:twoCellAnchor>
    <xdr:from>
      <xdr:col>0</xdr:col>
      <xdr:colOff>114299</xdr:colOff>
      <xdr:row>1</xdr:row>
      <xdr:rowOff>28575</xdr:rowOff>
    </xdr:from>
    <xdr:to>
      <xdr:col>0</xdr:col>
      <xdr:colOff>2962275</xdr:colOff>
      <xdr:row>7</xdr:row>
      <xdr:rowOff>66675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F106C72A-2311-4908-ACF4-46A6ECBCF16B}"/>
            </a:ext>
          </a:extLst>
        </xdr:cNvPr>
        <xdr:cNvSpPr txBox="1"/>
      </xdr:nvSpPr>
      <xdr:spPr>
        <a:xfrm>
          <a:off x="114299" y="219075"/>
          <a:ext cx="2847976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100" b="1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I.R.  ADVANCE</a:t>
          </a:r>
          <a:r>
            <a:rPr lang="pt-BR" sz="2100" b="1" baseline="0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  APP</a:t>
          </a:r>
          <a:endParaRPr lang="pt-BR" sz="2100" b="1">
            <a:solidFill>
              <a:schemeClr val="accent4">
                <a:lumMod val="75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1</xdr:col>
      <xdr:colOff>581025</xdr:colOff>
      <xdr:row>31</xdr:row>
      <xdr:rowOff>171450</xdr:rowOff>
    </xdr:from>
    <xdr:to>
      <xdr:col>2</xdr:col>
      <xdr:colOff>3390900</xdr:colOff>
      <xdr:row>33</xdr:row>
      <xdr:rowOff>171450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CE972FD-D7FD-431D-9810-A58E1D6E0F81}"/>
            </a:ext>
          </a:extLst>
        </xdr:cNvPr>
        <xdr:cNvSpPr/>
      </xdr:nvSpPr>
      <xdr:spPr>
        <a:xfrm>
          <a:off x="3371850" y="7439025"/>
          <a:ext cx="3419475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 - ANTERIOR</a:t>
          </a:r>
        </a:p>
      </xdr:txBody>
    </xdr:sp>
    <xdr:clientData/>
  </xdr:twoCellAnchor>
  <xdr:twoCellAnchor editAs="absolute">
    <xdr:from>
      <xdr:col>3</xdr:col>
      <xdr:colOff>0</xdr:colOff>
      <xdr:row>31</xdr:row>
      <xdr:rowOff>171450</xdr:rowOff>
    </xdr:from>
    <xdr:to>
      <xdr:col>4</xdr:col>
      <xdr:colOff>19050</xdr:colOff>
      <xdr:row>33</xdr:row>
      <xdr:rowOff>171450</xdr:rowOff>
    </xdr:to>
    <xdr:sp macro="" textlink="">
      <xdr:nvSpPr>
        <xdr:cNvPr id="13" name="Retângul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AA5A90B-9F1E-49A7-9158-AC1E64ED6E10}"/>
            </a:ext>
          </a:extLst>
        </xdr:cNvPr>
        <xdr:cNvSpPr/>
      </xdr:nvSpPr>
      <xdr:spPr>
        <a:xfrm>
          <a:off x="6848475" y="7439025"/>
          <a:ext cx="34671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 -&gt;</a:t>
          </a:r>
        </a:p>
      </xdr:txBody>
    </xdr:sp>
    <xdr:clientData/>
  </xdr:twoCellAnchor>
  <xdr:twoCellAnchor>
    <xdr:from>
      <xdr:col>4</xdr:col>
      <xdr:colOff>228600</xdr:colOff>
      <xdr:row>6</xdr:row>
      <xdr:rowOff>19050</xdr:rowOff>
    </xdr:from>
    <xdr:to>
      <xdr:col>11</xdr:col>
      <xdr:colOff>533400</xdr:colOff>
      <xdr:row>24</xdr:row>
      <xdr:rowOff>19050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26455CF-03FB-433E-BA91-3FA032553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2800350</xdr:colOff>
      <xdr:row>39</xdr:row>
      <xdr:rowOff>180974</xdr:rowOff>
    </xdr:to>
    <xdr:sp macro="" textlink="">
      <xdr:nvSpPr>
        <xdr:cNvPr id="2" name="Fluxograma: Processo 1">
          <a:extLst>
            <a:ext uri="{FF2B5EF4-FFF2-40B4-BE49-F238E27FC236}">
              <a16:creationId xmlns:a16="http://schemas.microsoft.com/office/drawing/2014/main" id="{4E69A48E-0BBB-41B3-953A-69EEDA5329C3}"/>
            </a:ext>
          </a:extLst>
        </xdr:cNvPr>
        <xdr:cNvSpPr/>
      </xdr:nvSpPr>
      <xdr:spPr>
        <a:xfrm>
          <a:off x="0" y="0"/>
          <a:ext cx="2800350" cy="8391524"/>
        </a:xfrm>
        <a:prstGeom prst="flowChartProcess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800">
            <a:solidFill>
              <a:schemeClr val="accent4">
                <a:lumMod val="75000"/>
              </a:schemeClr>
            </a:solidFill>
            <a:latin typeface="Bauhaus 93" panose="04030905020B02020C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114299</xdr:colOff>
      <xdr:row>1</xdr:row>
      <xdr:rowOff>28575</xdr:rowOff>
    </xdr:from>
    <xdr:to>
      <xdr:col>0</xdr:col>
      <xdr:colOff>2962275</xdr:colOff>
      <xdr:row>5</xdr:row>
      <xdr:rowOff>66675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B6CAF84-5ACD-4EF5-BA56-0A49B3AE5B06}"/>
            </a:ext>
          </a:extLst>
        </xdr:cNvPr>
        <xdr:cNvSpPr txBox="1"/>
      </xdr:nvSpPr>
      <xdr:spPr>
        <a:xfrm>
          <a:off x="114299" y="219075"/>
          <a:ext cx="2847976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100" b="1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I.R.  ADVANCE</a:t>
          </a:r>
          <a:r>
            <a:rPr lang="pt-BR" sz="2100" b="1" baseline="0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  APP</a:t>
          </a:r>
          <a:endParaRPr lang="pt-BR" sz="2100" b="1">
            <a:solidFill>
              <a:schemeClr val="accent4">
                <a:lumMod val="75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806259</xdr:colOff>
      <xdr:row>4</xdr:row>
      <xdr:rowOff>0</xdr:rowOff>
    </xdr:from>
    <xdr:to>
      <xdr:col>0</xdr:col>
      <xdr:colOff>2019300</xdr:colOff>
      <xdr:row>8</xdr:row>
      <xdr:rowOff>180976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205AE01-8B0E-4055-BFFA-19B31FE82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259" y="904875"/>
          <a:ext cx="1213041" cy="1285876"/>
        </a:xfrm>
        <a:prstGeom prst="rect">
          <a:avLst/>
        </a:prstGeom>
        <a:noFill/>
        <a:ln>
          <a:noFill/>
        </a:ln>
        <a:effectLst>
          <a:outerShdw blurRad="50800" dist="38100" dir="5400000" algn="t" rotWithShape="0">
            <a:schemeClr val="bg2">
              <a:alpha val="40000"/>
            </a:schemeClr>
          </a:outerShdw>
        </a:effectLst>
      </xdr:spPr>
    </xdr:pic>
    <xdr:clientData/>
  </xdr:twoCellAnchor>
  <xdr:twoCellAnchor editAs="absolute">
    <xdr:from>
      <xdr:col>0</xdr:col>
      <xdr:colOff>504825</xdr:colOff>
      <xdr:row>10</xdr:row>
      <xdr:rowOff>60890</xdr:rowOff>
    </xdr:from>
    <xdr:to>
      <xdr:col>0</xdr:col>
      <xdr:colOff>2190750</xdr:colOff>
      <xdr:row>13</xdr:row>
      <xdr:rowOff>43886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04DAD7-DF5D-4D0B-9DB0-EC5F0D7CACD6}"/>
            </a:ext>
          </a:extLst>
        </xdr:cNvPr>
        <xdr:cNvSpPr/>
      </xdr:nvSpPr>
      <xdr:spPr>
        <a:xfrm>
          <a:off x="504825" y="2470715"/>
          <a:ext cx="1685925" cy="583071"/>
        </a:xfrm>
        <a:prstGeom prst="roundRect">
          <a:avLst>
            <a:gd name="adj" fmla="val 4583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504825</xdr:colOff>
      <xdr:row>14</xdr:row>
      <xdr:rowOff>18637</xdr:rowOff>
    </xdr:from>
    <xdr:to>
      <xdr:col>0</xdr:col>
      <xdr:colOff>2190750</xdr:colOff>
      <xdr:row>17</xdr:row>
      <xdr:rowOff>9939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87B982-8049-4E7F-8054-65FEFAD13282}"/>
            </a:ext>
          </a:extLst>
        </xdr:cNvPr>
        <xdr:cNvSpPr/>
      </xdr:nvSpPr>
      <xdr:spPr>
        <a:xfrm>
          <a:off x="504825" y="3228562"/>
          <a:ext cx="1685925" cy="591377"/>
        </a:xfrm>
        <a:prstGeom prst="roundRect">
          <a:avLst>
            <a:gd name="adj" fmla="val 47917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marL="0" indent="0"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504825</xdr:colOff>
      <xdr:row>17</xdr:row>
      <xdr:rowOff>136232</xdr:rowOff>
    </xdr:from>
    <xdr:to>
      <xdr:col>0</xdr:col>
      <xdr:colOff>2190750</xdr:colOff>
      <xdr:row>20</xdr:row>
      <xdr:rowOff>139993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0969E8-DD9B-46EA-9952-001DC23E7119}"/>
            </a:ext>
          </a:extLst>
        </xdr:cNvPr>
        <xdr:cNvSpPr/>
      </xdr:nvSpPr>
      <xdr:spPr>
        <a:xfrm>
          <a:off x="504825" y="3946232"/>
          <a:ext cx="1685925" cy="603836"/>
        </a:xfrm>
        <a:prstGeom prst="roundRect">
          <a:avLst>
            <a:gd name="adj" fmla="val 50000"/>
          </a:avLst>
        </a:prstGeom>
        <a:gradFill>
          <a:gsLst>
            <a:gs pos="96000">
              <a:schemeClr val="accent4">
                <a:lumMod val="20000"/>
                <a:lumOff val="80000"/>
              </a:schemeClr>
            </a:gs>
            <a:gs pos="0">
              <a:schemeClr val="accent4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marL="0" indent="0"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704850</xdr:colOff>
      <xdr:row>22</xdr:row>
      <xdr:rowOff>9525</xdr:rowOff>
    </xdr:from>
    <xdr:to>
      <xdr:col>0</xdr:col>
      <xdr:colOff>2133600</xdr:colOff>
      <xdr:row>23</xdr:row>
      <xdr:rowOff>85725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1687CA7-CA45-40C6-B6F1-D9ADBD8DF416}"/>
            </a:ext>
          </a:extLst>
        </xdr:cNvPr>
        <xdr:cNvSpPr txBox="1"/>
      </xdr:nvSpPr>
      <xdr:spPr>
        <a:xfrm>
          <a:off x="704850" y="4819650"/>
          <a:ext cx="14287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4">
                  <a:lumMod val="75000"/>
                </a:schemeClr>
              </a:solidFill>
            </a:rPr>
            <a:t>System</a:t>
          </a:r>
          <a:r>
            <a:rPr lang="pt-BR" sz="1400" b="1" baseline="0">
              <a:solidFill>
                <a:schemeClr val="accent4">
                  <a:lumMod val="75000"/>
                </a:schemeClr>
              </a:solidFill>
            </a:rPr>
            <a:t> By AMS</a:t>
          </a:r>
          <a:endParaRPr lang="pt-BR" sz="14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342900</xdr:colOff>
      <xdr:row>21</xdr:row>
      <xdr:rowOff>114300</xdr:rowOff>
    </xdr:from>
    <xdr:to>
      <xdr:col>0</xdr:col>
      <xdr:colOff>2495550</xdr:colOff>
      <xdr:row>21</xdr:row>
      <xdr:rowOff>160019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3A7A44C-0E95-46B7-A762-845DF1ACC140}"/>
            </a:ext>
          </a:extLst>
        </xdr:cNvPr>
        <xdr:cNvSpPr/>
      </xdr:nvSpPr>
      <xdr:spPr>
        <a:xfrm>
          <a:off x="342900" y="4724400"/>
          <a:ext cx="2152650" cy="45719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1186313</xdr:colOff>
      <xdr:row>25</xdr:row>
      <xdr:rowOff>0</xdr:rowOff>
    </xdr:from>
    <xdr:to>
      <xdr:col>0</xdr:col>
      <xdr:colOff>1457325</xdr:colOff>
      <xdr:row>26</xdr:row>
      <xdr:rowOff>76199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82B213-7A85-4F0E-808E-DA351DF57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313" y="5410200"/>
          <a:ext cx="271012" cy="276224"/>
        </a:xfrm>
        <a:prstGeom prst="rect">
          <a:avLst/>
        </a:prstGeom>
      </xdr:spPr>
    </xdr:pic>
    <xdr:clientData/>
  </xdr:twoCellAnchor>
  <xdr:twoCellAnchor editAs="absolute">
    <xdr:from>
      <xdr:col>2</xdr:col>
      <xdr:colOff>38101</xdr:colOff>
      <xdr:row>5</xdr:row>
      <xdr:rowOff>19051</xdr:rowOff>
    </xdr:from>
    <xdr:to>
      <xdr:col>3</xdr:col>
      <xdr:colOff>9525</xdr:colOff>
      <xdr:row>5</xdr:row>
      <xdr:rowOff>257175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6D17E1-27DE-45DD-9752-349321C38E49}"/>
            </a:ext>
          </a:extLst>
        </xdr:cNvPr>
        <xdr:cNvSpPr/>
      </xdr:nvSpPr>
      <xdr:spPr>
        <a:xfrm>
          <a:off x="3457576" y="1200151"/>
          <a:ext cx="2390774" cy="238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 - ANTERIOR</a:t>
          </a:r>
        </a:p>
      </xdr:txBody>
    </xdr:sp>
    <xdr:clientData/>
  </xdr:twoCellAnchor>
  <xdr:twoCellAnchor editAs="absolute">
    <xdr:from>
      <xdr:col>3</xdr:col>
      <xdr:colOff>419100</xdr:colOff>
      <xdr:row>5</xdr:row>
      <xdr:rowOff>0</xdr:rowOff>
    </xdr:from>
    <xdr:to>
      <xdr:col>3</xdr:col>
      <xdr:colOff>2066925</xdr:colOff>
      <xdr:row>5</xdr:row>
      <xdr:rowOff>238124</xdr:rowOff>
    </xdr:to>
    <xdr:sp macro="" textlink="">
      <xdr:nvSpPr>
        <xdr:cNvPr id="12" name="Retângul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EA9BB15-ADE8-44E0-AAA8-26658AC85028}"/>
            </a:ext>
          </a:extLst>
        </xdr:cNvPr>
        <xdr:cNvSpPr/>
      </xdr:nvSpPr>
      <xdr:spPr>
        <a:xfrm>
          <a:off x="6257925" y="1181100"/>
          <a:ext cx="1647825" cy="238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ANALISE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2800350</xdr:colOff>
      <xdr:row>43</xdr:row>
      <xdr:rowOff>200024</xdr:rowOff>
    </xdr:to>
    <xdr:sp macro="" textlink="">
      <xdr:nvSpPr>
        <xdr:cNvPr id="2" name="Fluxograma: Processo 1">
          <a:extLst>
            <a:ext uri="{FF2B5EF4-FFF2-40B4-BE49-F238E27FC236}">
              <a16:creationId xmlns:a16="http://schemas.microsoft.com/office/drawing/2014/main" id="{F31FF0D0-87B9-47E5-93B0-623B1B2B06FC}"/>
            </a:ext>
          </a:extLst>
        </xdr:cNvPr>
        <xdr:cNvSpPr/>
      </xdr:nvSpPr>
      <xdr:spPr>
        <a:xfrm>
          <a:off x="0" y="0"/>
          <a:ext cx="2800350" cy="8391524"/>
        </a:xfrm>
        <a:prstGeom prst="flowChartProcess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800">
            <a:solidFill>
              <a:schemeClr val="accent4">
                <a:lumMod val="75000"/>
              </a:schemeClr>
            </a:solidFill>
            <a:latin typeface="Bauhaus 93" panose="04030905020B02020C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114299</xdr:colOff>
      <xdr:row>1</xdr:row>
      <xdr:rowOff>28575</xdr:rowOff>
    </xdr:from>
    <xdr:to>
      <xdr:col>0</xdr:col>
      <xdr:colOff>2962275</xdr:colOff>
      <xdr:row>8</xdr:row>
      <xdr:rowOff>66675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5EAD2BC-47AB-4389-A8B3-184547D7EE1F}"/>
            </a:ext>
          </a:extLst>
        </xdr:cNvPr>
        <xdr:cNvSpPr txBox="1"/>
      </xdr:nvSpPr>
      <xdr:spPr>
        <a:xfrm>
          <a:off x="114299" y="219075"/>
          <a:ext cx="2695576" cy="1028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100" b="1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I.R.  ADVANCE</a:t>
          </a:r>
          <a:r>
            <a:rPr lang="pt-BR" sz="2100" b="1" baseline="0">
              <a:solidFill>
                <a:schemeClr val="accent4">
                  <a:lumMod val="75000"/>
                </a:schemeClr>
              </a:solidFill>
              <a:latin typeface="Britannic Bold" panose="020B0903060703020204" pitchFamily="34" charset="0"/>
            </a:rPr>
            <a:t>  APP</a:t>
          </a:r>
          <a:endParaRPr lang="pt-BR" sz="2100" b="1">
            <a:solidFill>
              <a:schemeClr val="accent4">
                <a:lumMod val="75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806259</xdr:colOff>
      <xdr:row>4</xdr:row>
      <xdr:rowOff>9525</xdr:rowOff>
    </xdr:from>
    <xdr:to>
      <xdr:col>0</xdr:col>
      <xdr:colOff>2019300</xdr:colOff>
      <xdr:row>12</xdr:row>
      <xdr:rowOff>47626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877E7F3-AF07-4CAC-A460-4C35AE09F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259" y="904875"/>
          <a:ext cx="1213041" cy="1285876"/>
        </a:xfrm>
        <a:prstGeom prst="rect">
          <a:avLst/>
        </a:prstGeom>
        <a:noFill/>
        <a:ln>
          <a:noFill/>
        </a:ln>
        <a:effectLst>
          <a:outerShdw blurRad="50800" dist="38100" dir="5400000" algn="t" rotWithShape="0">
            <a:schemeClr val="bg2">
              <a:alpha val="40000"/>
            </a:schemeClr>
          </a:outerShdw>
        </a:effectLst>
      </xdr:spPr>
    </xdr:pic>
    <xdr:clientData/>
  </xdr:twoCellAnchor>
  <xdr:twoCellAnchor editAs="absolute">
    <xdr:from>
      <xdr:col>0</xdr:col>
      <xdr:colOff>504825</xdr:colOff>
      <xdr:row>13</xdr:row>
      <xdr:rowOff>137090</xdr:rowOff>
    </xdr:from>
    <xdr:to>
      <xdr:col>0</xdr:col>
      <xdr:colOff>2190750</xdr:colOff>
      <xdr:row>16</xdr:row>
      <xdr:rowOff>148661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259BA6-AB5E-43BF-BB1D-443DA80E929D}"/>
            </a:ext>
          </a:extLst>
        </xdr:cNvPr>
        <xdr:cNvSpPr/>
      </xdr:nvSpPr>
      <xdr:spPr>
        <a:xfrm>
          <a:off x="504825" y="2470715"/>
          <a:ext cx="1685925" cy="583071"/>
        </a:xfrm>
        <a:prstGeom prst="roundRect">
          <a:avLst>
            <a:gd name="adj" fmla="val 4583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504825</xdr:colOff>
      <xdr:row>17</xdr:row>
      <xdr:rowOff>132937</xdr:rowOff>
    </xdr:from>
    <xdr:to>
      <xdr:col>0</xdr:col>
      <xdr:colOff>2190750</xdr:colOff>
      <xdr:row>20</xdr:row>
      <xdr:rowOff>152814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4068EB-6F72-41AD-8AB6-AAB40DCFD3BA}"/>
            </a:ext>
          </a:extLst>
        </xdr:cNvPr>
        <xdr:cNvSpPr/>
      </xdr:nvSpPr>
      <xdr:spPr>
        <a:xfrm>
          <a:off x="504825" y="3228562"/>
          <a:ext cx="1685925" cy="591377"/>
        </a:xfrm>
        <a:prstGeom prst="roundRect">
          <a:avLst>
            <a:gd name="adj" fmla="val 47917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marL="0" indent="0"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504825</xdr:colOff>
      <xdr:row>21</xdr:row>
      <xdr:rowOff>88607</xdr:rowOff>
    </xdr:from>
    <xdr:to>
      <xdr:col>0</xdr:col>
      <xdr:colOff>2190750</xdr:colOff>
      <xdr:row>24</xdr:row>
      <xdr:rowOff>120943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14C6B0-AE43-4093-9F7B-6DC7985CD60E}"/>
            </a:ext>
          </a:extLst>
        </xdr:cNvPr>
        <xdr:cNvSpPr/>
      </xdr:nvSpPr>
      <xdr:spPr>
        <a:xfrm>
          <a:off x="504825" y="3946232"/>
          <a:ext cx="1685925" cy="603836"/>
        </a:xfrm>
        <a:prstGeom prst="roundRect">
          <a:avLst>
            <a:gd name="adj" fmla="val 50000"/>
          </a:avLst>
        </a:prstGeom>
        <a:gradFill>
          <a:gsLst>
            <a:gs pos="96000">
              <a:schemeClr val="accent4">
                <a:lumMod val="20000"/>
                <a:lumOff val="80000"/>
              </a:schemeClr>
            </a:gs>
            <a:gs pos="0">
              <a:schemeClr val="accent4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pPr marL="0" indent="0" algn="ctr"/>
          <a:r>
            <a:rPr lang="pt-BR" sz="1800">
              <a:solidFill>
                <a:schemeClr val="accent4">
                  <a:lumMod val="75000"/>
                </a:schemeClr>
              </a:solidFill>
              <a:latin typeface="Bauhaus 93" panose="04030905020B02020C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704850</xdr:colOff>
      <xdr:row>26</xdr:row>
      <xdr:rowOff>9525</xdr:rowOff>
    </xdr:from>
    <xdr:to>
      <xdr:col>0</xdr:col>
      <xdr:colOff>2133600</xdr:colOff>
      <xdr:row>27</xdr:row>
      <xdr:rowOff>47625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E1DEA420-0E07-4940-A5C4-C5CD58F0063F}"/>
            </a:ext>
          </a:extLst>
        </xdr:cNvPr>
        <xdr:cNvSpPr txBox="1"/>
      </xdr:nvSpPr>
      <xdr:spPr>
        <a:xfrm>
          <a:off x="704850" y="4819650"/>
          <a:ext cx="14287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4">
                  <a:lumMod val="75000"/>
                </a:schemeClr>
              </a:solidFill>
            </a:rPr>
            <a:t>System</a:t>
          </a:r>
          <a:r>
            <a:rPr lang="pt-BR" sz="1400" b="1" baseline="0">
              <a:solidFill>
                <a:schemeClr val="accent4">
                  <a:lumMod val="75000"/>
                </a:schemeClr>
              </a:solidFill>
            </a:rPr>
            <a:t> By AMS</a:t>
          </a:r>
          <a:endParaRPr lang="pt-BR" sz="14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342900</xdr:colOff>
      <xdr:row>25</xdr:row>
      <xdr:rowOff>104775</xdr:rowOff>
    </xdr:from>
    <xdr:to>
      <xdr:col>0</xdr:col>
      <xdr:colOff>2495550</xdr:colOff>
      <xdr:row>25</xdr:row>
      <xdr:rowOff>150494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40D5611-F336-43F9-82CB-026A838F4649}"/>
            </a:ext>
          </a:extLst>
        </xdr:cNvPr>
        <xdr:cNvSpPr/>
      </xdr:nvSpPr>
      <xdr:spPr>
        <a:xfrm>
          <a:off x="342900" y="4724400"/>
          <a:ext cx="2152650" cy="45719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1186313</xdr:colOff>
      <xdr:row>28</xdr:row>
      <xdr:rowOff>171450</xdr:rowOff>
    </xdr:from>
    <xdr:to>
      <xdr:col>0</xdr:col>
      <xdr:colOff>1457325</xdr:colOff>
      <xdr:row>30</xdr:row>
      <xdr:rowOff>66674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64D3A5-4B24-4A14-BF95-4A5924CCD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313" y="5410200"/>
          <a:ext cx="271012" cy="276224"/>
        </a:xfrm>
        <a:prstGeom prst="rect">
          <a:avLst/>
        </a:prstGeom>
      </xdr:spPr>
    </xdr:pic>
    <xdr:clientData/>
  </xdr:twoCellAnchor>
  <xdr:twoCellAnchor editAs="absolute">
    <xdr:from>
      <xdr:col>2</xdr:col>
      <xdr:colOff>19050</xdr:colOff>
      <xdr:row>4</xdr:row>
      <xdr:rowOff>38100</xdr:rowOff>
    </xdr:from>
    <xdr:to>
      <xdr:col>4</xdr:col>
      <xdr:colOff>104774</xdr:colOff>
      <xdr:row>5</xdr:row>
      <xdr:rowOff>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82694F-0119-47F8-8E1C-7B8A6A387E17}"/>
            </a:ext>
          </a:extLst>
        </xdr:cNvPr>
        <xdr:cNvSpPr/>
      </xdr:nvSpPr>
      <xdr:spPr>
        <a:xfrm>
          <a:off x="4981575" y="933450"/>
          <a:ext cx="2390774" cy="238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&lt; - ANTERIOR</a:t>
          </a:r>
        </a:p>
      </xdr:txBody>
    </xdr:sp>
    <xdr:clientData/>
  </xdr:twoCellAnchor>
  <xdr:twoCellAnchor editAs="absolute">
    <xdr:from>
      <xdr:col>1</xdr:col>
      <xdr:colOff>190500</xdr:colOff>
      <xdr:row>10</xdr:row>
      <xdr:rowOff>1</xdr:rowOff>
    </xdr:from>
    <xdr:to>
      <xdr:col>1</xdr:col>
      <xdr:colOff>2019300</xdr:colOff>
      <xdr:row>16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CATEGORIA">
              <a:extLst>
                <a:ext uri="{FF2B5EF4-FFF2-40B4-BE49-F238E27FC236}">
                  <a16:creationId xmlns:a16="http://schemas.microsoft.com/office/drawing/2014/main" id="{B1C656F2-3E4D-C7A5-174A-AC607090FFFF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0375" y="1743076"/>
              <a:ext cx="1828800" cy="1209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200025</xdr:colOff>
      <xdr:row>17</xdr:row>
      <xdr:rowOff>19051</xdr:rowOff>
    </xdr:from>
    <xdr:to>
      <xdr:col>1</xdr:col>
      <xdr:colOff>2028825</xdr:colOff>
      <xdr:row>24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Trimestre">
              <a:extLst>
                <a:ext uri="{FF2B5EF4-FFF2-40B4-BE49-F238E27FC236}">
                  <a16:creationId xmlns:a16="http://schemas.microsoft.com/office/drawing/2014/main" id="{0A4CA7A9-7449-968D-CD78-7F497E461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9900" y="3114676"/>
              <a:ext cx="1828800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319087</xdr:colOff>
      <xdr:row>9</xdr:row>
      <xdr:rowOff>290512</xdr:rowOff>
    </xdr:from>
    <xdr:to>
      <xdr:col>16</xdr:col>
      <xdr:colOff>328612</xdr:colOff>
      <xdr:row>26</xdr:row>
      <xdr:rowOff>47625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25BCBE0-412E-7018-F8B4-A8578872C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varo" refreshedDate="46063.077424189818" backgroundQuery="1" createdVersion="8" refreshedVersion="8" minRefreshableVersion="3" recordCount="0" supportSubquery="1" supportAdvancedDrill="1" xr:uid="{ECB5BE31-19BC-45AE-8C48-BE970F6A4777}">
  <cacheSource type="external" connectionId="1"/>
  <cacheFields count="6">
    <cacheField name="[Tabela2].[CATEGORIA].[CATEGORIA]" caption="CATEGORIA" numFmtId="0" hierarchy="1" level="1">
      <sharedItems count="2">
        <s v="FreeLance"/>
        <s v="Holerite" u="1"/>
      </sharedItems>
    </cacheField>
    <cacheField name="[Measures].[Soma de VALOR]" caption="Soma de VALOR" numFmtId="0" hierarchy="11" level="32767"/>
    <cacheField name="[Tabela2].[Trimestre].[Trimestre]" caption="Trimestre" numFmtId="0" hierarchy="4" level="1">
      <sharedItems count="4">
        <s v="T1"/>
        <s v="T2"/>
        <s v="T4"/>
        <s v="T3" u="1"/>
      </sharedItems>
    </cacheField>
    <cacheField name="[Tabela2].[CATEGORIA NAO VAIZA].[CATEGORIA NAO VAIZA]" caption="CATEGORIA NAO VAIZA" numFmtId="0" hierarchy="6" level="1">
      <sharedItems containsSemiMixedTypes="0" containsNonDate="0" containsString="0"/>
    </cacheField>
    <cacheField name="[Tabela2].[Trimestre calculado].[Trimestre calculado]" caption="Trimestre calculado" numFmtId="0" hierarchy="7" level="1">
      <sharedItems containsSemiMixedTypes="0" containsNonDate="0" containsString="0"/>
    </cacheField>
    <cacheField name="[Tabela2].[Bimestre Calculado].[Bimestre Calculado]" caption="Bimestre Calculado" numFmtId="0" hierarchy="8" level="1">
      <sharedItems containsSemiMixedTypes="0" containsNonDate="0" containsString="0"/>
    </cacheField>
  </cacheFields>
  <cacheHierarchies count="14">
    <cacheHierarchy uniqueName="[Tabela2].[DATA]" caption="DATA" attribute="1" time="1" defaultMemberUniqueName="[Tabela2].[DATA].[All]" allUniqueName="[Tabela2].[DATA].[All]" dimensionUniqueName="[Tabela2]" displayFolder="" count="2" memberValueDatatype="7" unbalanced="0"/>
    <cacheHierarchy uniqueName="[Tabela2].[CATEGORIA]" caption="CATEGORIA" attribute="1" defaultMemberUniqueName="[Tabela2].[CATEGORIA].[All]" allUniqueName="[Tabela2].[CATEGORIA].[All]" dimensionUniqueName="[Tabela2]" displayFolder="" count="2" memberValueDatatype="130" unbalanced="0">
      <fieldsUsage count="2">
        <fieldUsage x="-1"/>
        <fieldUsage x="0"/>
      </fieldsUsage>
    </cacheHierarchy>
    <cacheHierarchy uniqueName="[Tabela2].[VALOR]" caption="VALOR" attribute="1" defaultMemberUniqueName="[Tabela2].[VALOR].[All]" allUniqueName="[Tabela2].[VALOR].[All]" dimensionUniqueName="[Tabela2]" displayFolder="" count="2" memberValueDatatype="20" unbalanced="0"/>
    <cacheHierarchy uniqueName="[Tabela2].[Mês]" caption="Mês" attribute="1" defaultMemberUniqueName="[Tabela2].[Mês].[All]" allUniqueName="[Tabela2].[Mês].[All]" dimensionUniqueName="[Tabela2]" displayFolder="" count="2" memberValueDatatype="20" unbalanced="0"/>
    <cacheHierarchy uniqueName="[Tabela2].[Trimestre]" caption="Trimestre" attribute="1" defaultMemberUniqueName="[Tabela2].[Trimestre].[All]" allUniqueName="[Tabela2].[Trimestre].[All]" dimensionUniqueName="[Tabela2]" displayFolder="" count="2" memberValueDatatype="130" unbalanced="0">
      <fieldsUsage count="2">
        <fieldUsage x="-1"/>
        <fieldUsage x="2"/>
      </fieldsUsage>
    </cacheHierarchy>
    <cacheHierarchy uniqueName="[Tabela2].[Bimestre]" caption="Bimestre" attribute="1" defaultMemberUniqueName="[Tabela2].[Bimestre].[All]" allUniqueName="[Tabela2].[Bimestre].[All]" dimensionUniqueName="[Tabela2]" displayFolder="" count="2" memberValueDatatype="130" unbalanced="0"/>
    <cacheHierarchy uniqueName="[Tabela2].[CATEGORIA NAO VAIZA]" caption="CATEGORIA NAO VAIZA" attribute="1" defaultMemberUniqueName="[Tabela2].[CATEGORIA NAO VAIZA].[All]" allUniqueName="[Tabela2].[CATEGORIA NAO VAIZA].[All]" dimensionUniqueName="[Tabela2]" displayFolder="" count="2" memberValueDatatype="11" unbalanced="0">
      <fieldsUsage count="2">
        <fieldUsage x="-1"/>
        <fieldUsage x="3"/>
      </fieldsUsage>
    </cacheHierarchy>
    <cacheHierarchy uniqueName="[Tabela2].[Trimestre calculado]" caption="Trimestre calculado" attribute="1" defaultMemberUniqueName="[Tabela2].[Trimestre calculado].[All]" allUniqueName="[Tabela2].[Trimestre calculado].[All]" dimensionUniqueName="[Tabela2]" displayFolder="" count="2" memberValueDatatype="11" unbalanced="0">
      <fieldsUsage count="2">
        <fieldUsage x="-1"/>
        <fieldUsage x="4"/>
      </fieldsUsage>
    </cacheHierarchy>
    <cacheHierarchy uniqueName="[Tabela2].[Bimestre Calculado]" caption="Bimestre Calculado" attribute="1" defaultMemberUniqueName="[Tabela2].[Bimestre Calculado].[All]" allUniqueName="[Tabela2].[Bimestre Calculado].[All]" dimensionUniqueName="[Tabela2]" displayFolder="" count="2" memberValueDatatype="11" unbalanced="0">
      <fieldsUsage count="2">
        <fieldUsage x="-1"/>
        <fieldUsage x="5"/>
      </fieldsUsage>
    </cacheHierarchy>
    <cacheHierarchy uniqueName="[Measures].[__XL_Count Tabela2]" caption="__XL_Count Tabela2" measure="1" displayFolder="" measureGroup="Tabela2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abela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Mês]" caption="Soma de Mês" measure="1" displayFolder="" measureGroup="Tabela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Mês]" caption="Contagem de Mês" measure="1" displayFolder="" measureGroup="Tabela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ela2" uniqueName="[Tabela2]" caption="Tabela2"/>
  </dimensions>
  <measureGroups count="1">
    <measureGroup name="Tabela2" caption="Tabela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varo" refreshedDate="46063.063583564814" backgroundQuery="1" createdVersion="3" refreshedVersion="8" minRefreshableVersion="3" recordCount="0" supportSubquery="1" supportAdvancedDrill="1" xr:uid="{E2EF63D9-3943-4FD8-A7B4-C6D4728AC49B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CATEGORIA]" caption="CATEGORIA" attribute="1" defaultMemberUniqueName="[Tabela2].[CATEGORIA].[All]" allUniqueName="[Tabela2].[CATEGORIA].[All]" dimensionUniqueName="[Tabela2]" displayFolder="" count="2" memberValueDatatype="130" unbalanced="0"/>
    <cacheHierarchy uniqueName="[Tabela2].[VALOR]" caption="VALOR" attribute="1" defaultMemberUniqueName="[Tabela2].[VALOR].[All]" allUniqueName="[Tabela2].[VALOR].[All]" dimensionUniqueName="[Tabela2]" displayFolder="" count="0" memberValueDatatype="20" unbalanced="0"/>
    <cacheHierarchy uniqueName="[Tabela2].[Mês]" caption="Mês" attribute="1" defaultMemberUniqueName="[Tabela2].[Mês].[All]" allUniqueName="[Tabela2].[Mês].[All]" dimensionUniqueName="[Tabela2]" displayFolder="" count="0" memberValueDatatype="20" unbalanced="0"/>
    <cacheHierarchy uniqueName="[Tabela2].[Trimestre]" caption="Trimestre" attribute="1" defaultMemberUniqueName="[Tabela2].[Trimestre].[All]" allUniqueName="[Tabela2].[Trimestre].[All]" dimensionUniqueName="[Tabela2]" displayFolder="" count="2" memberValueDatatype="130" unbalanced="0"/>
    <cacheHierarchy uniqueName="[Tabela2].[Bimestre]" caption="Bimestre" attribute="1" defaultMemberUniqueName="[Tabela2].[Bimestre].[All]" allUniqueName="[Tabela2].[Bimestre].[All]" dimensionUniqueName="[Tabela2]" displayFolder="" count="0" memberValueDatatype="130" unbalanced="0"/>
    <cacheHierarchy uniqueName="[Tabela2].[CATEGORIA NAO VAIZA]" caption="CATEGORIA NAO VAIZA" attribute="1" defaultMemberUniqueName="[Tabela2].[CATEGORIA NAO VAIZA].[All]" allUniqueName="[Tabela2].[CATEGORIA NAO VAIZA].[All]" dimensionUniqueName="[Tabela2]" displayFolder="" count="0" memberValueDatatype="11" unbalanced="0"/>
    <cacheHierarchy uniqueName="[Tabela2].[Trimestre calculado]" caption="Trimestre calculado" attribute="1" defaultMemberUniqueName="[Tabela2].[Trimestre calculado].[All]" allUniqueName="[Tabela2].[Trimestre calculado].[All]" dimensionUniqueName="[Tabela2]" displayFolder="" count="0" memberValueDatatype="11" unbalanced="0"/>
    <cacheHierarchy uniqueName="[Tabela2].[Bimestre Calculado]" caption="Bimestre Calculado" attribute="1" defaultMemberUniqueName="[Tabela2].[Bimestre Calculado].[All]" allUniqueName="[Tabela2].[Bimestre Calculado].[All]" dimensionUniqueName="[Tabela2]" displayFolder="" count="0" memberValueDatatype="11" unbalanced="0"/>
    <cacheHierarchy uniqueName="[Measures].[__XL_Count Tabela2]" caption="__XL_Count Tabela2" measure="1" displayFolder="" measureGroup="Tabela2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abela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Mês]" caption="Soma de Mês" measure="1" displayFolder="" measureGroup="Tabela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Mês]" caption="Contagem de Mês" measure="1" displayFolder="" measureGroup="Tabela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6951214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5FF60-4E4A-415F-9C13-B26DCDF8692A}" name="Tabela dinâmica25" cacheId="537" applyNumberFormats="0" applyBorderFormats="0" applyFontFormats="0" applyPatternFormats="0" applyAlignmentFormats="0" applyWidthHeightFormats="1" dataCaption="Valores" tag="5ef36a1c-f0bd-4959-93d5-a6e775ab26ea" updatedVersion="8" minRefreshableVersion="3" useAutoFormatting="1" subtotalHiddenItems="1" itemPrintTitles="1" createdVersion="8" indent="0" outline="1" outlineData="1" multipleFieldFilters="0" chartFormat="3" rowHeaderCaption="Filtro Categoria" colHeaderCaption="Trimestre">
  <location ref="C11:G14" firstHeaderRow="1" firstDataRow="2" firstDataCol="1" rowPageCount="3" colPageCount="1"/>
  <pivotFields count="6">
    <pivotField axis="axisRow" allDrilled="1" subtotalTop="0" showAll="0" dataSourceSort="1" defaultSubtotal="0" defaultAttributeDrillState="1">
      <items count="2">
        <item s="1"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3">
    <pageField fld="3" hier="6" name="[Tabela2].[CATEGORIA NAO VAIZA].&amp;[True]" cap="TRUE"/>
    <pageField fld="4" hier="7" name="[Tabela2].[Trimestre calculado].&amp;[True]" cap="TRUE"/>
    <pageField fld="5" hier="8" name="[Tabela2].[Bimestre Calculado].&amp;[True]" cap="TRUE"/>
  </pageFields>
  <dataFields count="1">
    <dataField name="Categoria" fld="1" baseField="0" baseItem="0" numFmtId="168"/>
  </dataFields>
  <formats count="20">
    <format dxfId="119">
      <pivotArea outline="0" collapsedLevelsAreSubtotals="1" fieldPosition="0"/>
    </format>
    <format dxfId="118">
      <pivotArea field="0" type="button" dataOnly="0" labelOnly="1" outline="0" axis="axisRow" fieldPosition="0"/>
    </format>
    <format dxfId="117">
      <pivotArea dataOnly="0" labelOnly="1" fieldPosition="0">
        <references count="1">
          <reference field="2" count="0"/>
        </references>
      </pivotArea>
    </format>
    <format dxfId="116">
      <pivotArea dataOnly="0" labelOnly="1" grandCol="1" outline="0" fieldPosition="0"/>
    </format>
    <format dxfId="115">
      <pivotArea field="0" type="button" dataOnly="0" labelOnly="1" outline="0" axis="axisRow" fieldPosition="0"/>
    </format>
    <format dxfId="114">
      <pivotArea dataOnly="0" labelOnly="1" fieldPosition="0">
        <references count="1">
          <reference field="2" count="0"/>
        </references>
      </pivotArea>
    </format>
    <format dxfId="113">
      <pivotArea dataOnly="0" labelOnly="1" grandCol="1" outline="0" fieldPosition="0"/>
    </format>
    <format dxfId="112">
      <pivotArea type="origin" dataOnly="0" labelOnly="1" outline="0" fieldPosition="0"/>
    </format>
    <format dxfId="111">
      <pivotArea field="2" type="button" dataOnly="0" labelOnly="1" outline="0" axis="axisCol" fieldPosition="0"/>
    </format>
    <format dxfId="110">
      <pivotArea type="topRight" dataOnly="0" labelOnly="1" outline="0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2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0" type="button" dataOnly="0" labelOnly="1" outline="0" axis="axisRow" fieldPosition="0"/>
    </format>
    <format dxfId="103">
      <pivotArea dataOnly="0" labelOnly="1" fieldPosition="0">
        <references count="1">
          <reference field="0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2" count="0"/>
        </references>
      </pivotArea>
    </format>
    <format dxfId="100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</chartFormats>
  <pivotHierarchies count="14"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Tabela2].[CATEGORIA NAO VAIZA].&amp;[True]"/>
      </members>
    </pivotHierarchy>
    <pivotHierarchy multipleItemSelectionAllowed="1" dragToData="1">
      <members count="1" level="1">
        <member name="[Tabela2].[Trimestre calculado].&amp;[True]"/>
      </members>
    </pivotHierarchy>
    <pivotHierarchy multipleItemSelectionAllowed="1" dragToData="1">
      <members count="1" level="1">
        <member name="[Tabela2].[Bimestre Calculado].&amp;[True]"/>
      </members>
    </pivotHierarchy>
    <pivotHierarchy dragToRow="0" dragToCol="0" dragToPage="0" dragToData="1"/>
    <pivotHierarchy dragToRow="0" dragToCol="0" dragToPage="0" dragToData="1"/>
    <pivotHierarchy dragToData="1" caption="Categoria"/>
    <pivotHierarchy dragToData="1"/>
    <pivotHierarchy dragToData="1" caption="Lançamentos por Mês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to_APP_Suporte_IR.xlsx!Tabela2">
        <x15:activeTabTopLevelEntity name="[Tabe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466976F1-21C6-4DF6-90AA-5F26C16DF9A0}" sourceName="[Tabela2].[CATEGORIA]">
  <pivotTables>
    <pivotTable tabId="9" name="Tabela dinâmica25"/>
  </pivotTables>
  <data>
    <olap pivotCacheId="869512145">
      <levels count="2">
        <level uniqueName="[Tabela2].[CATEGORIA].[(All)]" sourceCaption="(All)" count="0"/>
        <level uniqueName="[Tabela2].[CATEGORIA].[CATEGORIA]" sourceCaption="CATEGORIA" count="4" sortOrder="ascending">
          <ranges>
            <range startItem="0">
              <i n="[Tabela2].[CATEGORIA].&amp;[FreeLance]" c="FreeLance"/>
              <i n="[Tabela2].[CATEGORIA].&amp;[Holerite]" c="Holerite"/>
              <i n="[Tabela2].[CATEGORIA].&amp;[PJ]" c="PJ"/>
              <i n="[Tabela2].[CATEGORIA].&amp;" c="(vazio)" nd="1"/>
            </range>
          </ranges>
        </level>
      </levels>
      <selections count="1">
        <selection n="[Tabela2].[CATEGORIA].&amp;[FreeLance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2].[CATEGORIA].[CATEGORIA]" count="1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imestre" xr10:uid="{3F773437-2E58-4746-882F-8A5C2C087DC9}" sourceName="[Tabela2].[Trimestre]">
  <pivotTables>
    <pivotTable tabId="9" name="Tabela dinâmica25"/>
  </pivotTables>
  <data>
    <olap pivotCacheId="869512145">
      <levels count="2">
        <level uniqueName="[Tabela2].[Trimestre].[(All)]" sourceCaption="(All)" count="0"/>
        <level uniqueName="[Tabela2].[Trimestre].[Trimestre]" sourceCaption="Trimestre" count="5">
          <ranges>
            <range startItem="0">
              <i n="[Tabela2].[Trimestre].&amp;[T1]" c="T1"/>
              <i n="[Tabela2].[Trimestre].&amp;[T2]" c="T2"/>
              <i n="[Tabela2].[Trimestre].&amp;[T4]" c="T4"/>
              <i n="[Tabela2].[Trimestre].&amp;[T0]" c="T0" nd="1"/>
              <i n="[Tabela2].[Trimestre].&amp;[T3]" c="T3" nd="1"/>
            </range>
          </ranges>
        </level>
      </levels>
      <selections count="4">
        <selection n="[Tabela2].[Trimestre].&amp;[T1]"/>
        <selection n="[Tabela2].[Trimestre].&amp;[T2]"/>
        <selection n="[Tabela2].[Trimestre].&amp;[T3]"/>
        <selection n="[Tabela2].[Trimestre].&amp;[T4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2].[Trimestre].[Trimestre]" count="2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9427F1BB-63C4-40F6-81FF-FEF4721DAF4B}" cache="SegmentaçãodeDados_CATEGORIA" caption="CATEGORIA" level="1" rowHeight="241300"/>
  <slicer name="Trimestre" xr10:uid="{2832409A-4885-4F98-80CC-5A31F37B8526}" cache="SegmentaçãodeDados_Trimestre" caption="Trimestre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3816BD-F8F1-494C-BE44-647E124E2AF5}" name="Tabela2" displayName="Tabela2" ref="C8:E44" totalsRowShown="0" headerRowDxfId="124" dataDxfId="122">
  <autoFilter ref="C8:E44" xr:uid="{483816BD-F8F1-494C-BE44-647E124E2AF5}"/>
  <sortState xmlns:xlrd2="http://schemas.microsoft.com/office/spreadsheetml/2017/richdata2" ref="C9:E44">
    <sortCondition ref="C9:C44" customList="jan,fev,mar,abr,mai,jun,jul,ago,set,out,nov,dez"/>
  </sortState>
  <tableColumns count="3">
    <tableColumn id="1" xr3:uid="{B181AED2-7984-4922-A22F-3F677B985537}" name="DATA" dataDxfId="123"/>
    <tableColumn id="2" xr3:uid="{2757F0EB-4F56-42BC-A1F5-CB5730DA02F0}" name="CATEGORIA" dataDxfId="121"/>
    <tableColumn id="3" xr3:uid="{57B61386-2CE5-41FB-8F8F-435230D2CB3A}" name="VALOR" dataDxfId="12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fi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E5C2-191E-4138-8B6D-F7CB7D833D50}">
  <dimension ref="C3:D19"/>
  <sheetViews>
    <sheetView showGridLines="0" showRowColHeaders="0" tabSelected="1" workbookViewId="0">
      <selection activeCell="D6" sqref="D6"/>
    </sheetView>
  </sheetViews>
  <sheetFormatPr defaultRowHeight="15" x14ac:dyDescent="0.25"/>
  <cols>
    <col min="1" max="1" width="41.85546875" customWidth="1"/>
    <col min="3" max="4" width="51.7109375" customWidth="1"/>
  </cols>
  <sheetData>
    <row r="3" spans="3:4" ht="20.25" thickBot="1" x14ac:dyDescent="0.35">
      <c r="C3" s="1" t="s">
        <v>14</v>
      </c>
      <c r="D3" s="1"/>
    </row>
    <row r="4" spans="3:4" ht="21" customHeight="1" thickTop="1" x14ac:dyDescent="0.25">
      <c r="C4" s="10" t="s">
        <v>15</v>
      </c>
      <c r="D4" s="10"/>
    </row>
    <row r="6" spans="3:4" ht="18.75" x14ac:dyDescent="0.3">
      <c r="C6" s="2" t="s">
        <v>0</v>
      </c>
      <c r="D6" s="16" t="s">
        <v>18</v>
      </c>
    </row>
    <row r="7" spans="3:4" ht="18.75" x14ac:dyDescent="0.3">
      <c r="C7" s="3" t="s">
        <v>1</v>
      </c>
      <c r="D7" s="17">
        <v>23412312312</v>
      </c>
    </row>
    <row r="8" spans="3:4" ht="18.75" x14ac:dyDescent="0.3">
      <c r="C8" s="3" t="s">
        <v>2</v>
      </c>
      <c r="D8" s="18">
        <v>33156</v>
      </c>
    </row>
    <row r="9" spans="3:4" ht="18.75" x14ac:dyDescent="0.3">
      <c r="C9" s="3" t="s">
        <v>3</v>
      </c>
      <c r="D9" s="19">
        <v>2456213</v>
      </c>
    </row>
    <row r="10" spans="3:4" ht="18.75" x14ac:dyDescent="0.3">
      <c r="C10" s="3" t="s">
        <v>13</v>
      </c>
      <c r="D10" s="20" t="s">
        <v>22</v>
      </c>
    </row>
    <row r="11" spans="3:4" ht="18.75" x14ac:dyDescent="0.3">
      <c r="C11" s="3" t="s">
        <v>4</v>
      </c>
      <c r="D11" s="20" t="s">
        <v>21</v>
      </c>
    </row>
    <row r="12" spans="3:4" ht="18.75" x14ac:dyDescent="0.3">
      <c r="C12" s="3" t="s">
        <v>5</v>
      </c>
      <c r="D12" s="20" t="s">
        <v>20</v>
      </c>
    </row>
    <row r="13" spans="3:4" ht="18.75" x14ac:dyDescent="0.3">
      <c r="C13" s="3" t="s">
        <v>6</v>
      </c>
      <c r="D13" s="21">
        <v>23102912</v>
      </c>
    </row>
    <row r="14" spans="3:4" ht="18.75" x14ac:dyDescent="0.3">
      <c r="C14" s="3" t="s">
        <v>7</v>
      </c>
      <c r="D14" s="22">
        <v>1132141234</v>
      </c>
    </row>
    <row r="15" spans="3:4" ht="18.75" x14ac:dyDescent="0.3">
      <c r="C15" s="3" t="s">
        <v>8</v>
      </c>
      <c r="D15" s="23">
        <v>11921210001</v>
      </c>
    </row>
    <row r="16" spans="3:4" ht="18.75" x14ac:dyDescent="0.3">
      <c r="C16" s="3" t="s">
        <v>9</v>
      </c>
      <c r="D16" s="24" t="s">
        <v>19</v>
      </c>
    </row>
    <row r="17" spans="3:4" ht="18.75" x14ac:dyDescent="0.3">
      <c r="C17" s="3" t="s">
        <v>10</v>
      </c>
      <c r="D17" s="19" t="s">
        <v>16</v>
      </c>
    </row>
    <row r="18" spans="3:4" ht="18.75" x14ac:dyDescent="0.3">
      <c r="C18" s="3" t="s">
        <v>11</v>
      </c>
      <c r="D18" s="19" t="s">
        <v>16</v>
      </c>
    </row>
    <row r="19" spans="3:4" ht="18.75" x14ac:dyDescent="0.3">
      <c r="C19" s="4" t="s">
        <v>12</v>
      </c>
      <c r="D19" s="25" t="s">
        <v>17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DFF6147C-D154-4E7D-9C56-561E3F5DAAFE}">
      <formula1>"SIM,NÃO"</formula1>
    </dataValidation>
  </dataValidations>
  <hyperlinks>
    <hyperlink ref="D16" r:id="rId1" xr:uid="{FBA6EE4A-7994-4F11-9838-1F40DD04964E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47E5-84CB-4608-9F9B-FB91AA8FCF6A}">
  <dimension ref="C3:D31"/>
  <sheetViews>
    <sheetView showGridLines="0" workbookViewId="0">
      <selection activeCell="D29" sqref="D29"/>
    </sheetView>
  </sheetViews>
  <sheetFormatPr defaultRowHeight="15" x14ac:dyDescent="0.25"/>
  <cols>
    <col min="1" max="1" width="41.85546875" customWidth="1"/>
    <col min="3" max="4" width="51.7109375" customWidth="1"/>
  </cols>
  <sheetData>
    <row r="3" spans="3:4" ht="20.25" thickBot="1" x14ac:dyDescent="0.35">
      <c r="C3" s="1" t="s">
        <v>23</v>
      </c>
      <c r="D3" s="1"/>
    </row>
    <row r="4" spans="3:4" ht="21" customHeight="1" thickTop="1" x14ac:dyDescent="0.25">
      <c r="C4" s="10" t="s">
        <v>24</v>
      </c>
      <c r="D4" s="10"/>
    </row>
    <row r="5" spans="3:4" ht="21" customHeight="1" x14ac:dyDescent="0.25"/>
    <row r="6" spans="3:4" ht="23.25" customHeight="1" x14ac:dyDescent="0.45">
      <c r="C6" s="7" t="s">
        <v>89</v>
      </c>
    </row>
    <row r="7" spans="3:4" ht="23.25" customHeight="1" x14ac:dyDescent="0.25">
      <c r="C7" s="11">
        <f>SUM(D10:D31)</f>
        <v>629897.53999999992</v>
      </c>
      <c r="D7" s="11"/>
    </row>
    <row r="8" spans="3:4" ht="23.25" customHeight="1" x14ac:dyDescent="0.25">
      <c r="C8" s="6" t="s">
        <v>79</v>
      </c>
    </row>
    <row r="9" spans="3:4" ht="18.75" x14ac:dyDescent="0.3">
      <c r="C9" s="2" t="s">
        <v>25</v>
      </c>
      <c r="D9" s="16" t="s">
        <v>49</v>
      </c>
    </row>
    <row r="10" spans="3:4" ht="18.75" x14ac:dyDescent="0.3">
      <c r="C10" s="3" t="s">
        <v>26</v>
      </c>
      <c r="D10" s="26">
        <v>95428</v>
      </c>
    </row>
    <row r="11" spans="3:4" ht="18.75" x14ac:dyDescent="0.3">
      <c r="C11" s="4" t="s">
        <v>27</v>
      </c>
      <c r="D11" s="27" t="s">
        <v>83</v>
      </c>
    </row>
    <row r="13" spans="3:4" ht="17.25" x14ac:dyDescent="0.25">
      <c r="C13" s="6" t="s">
        <v>80</v>
      </c>
    </row>
    <row r="14" spans="3:4" ht="18.75" x14ac:dyDescent="0.3">
      <c r="C14" s="2" t="s">
        <v>25</v>
      </c>
      <c r="D14" s="16" t="s">
        <v>47</v>
      </c>
    </row>
    <row r="15" spans="3:4" ht="18.75" x14ac:dyDescent="0.3">
      <c r="C15" s="3" t="s">
        <v>26</v>
      </c>
      <c r="D15" s="26">
        <v>70012.34</v>
      </c>
    </row>
    <row r="16" spans="3:4" ht="18.75" x14ac:dyDescent="0.3">
      <c r="C16" s="4" t="s">
        <v>27</v>
      </c>
      <c r="D16" s="27" t="s">
        <v>84</v>
      </c>
    </row>
    <row r="18" spans="3:4" ht="17.25" x14ac:dyDescent="0.25">
      <c r="C18" s="6" t="s">
        <v>81</v>
      </c>
    </row>
    <row r="19" spans="3:4" ht="18.75" x14ac:dyDescent="0.3">
      <c r="C19" s="2" t="s">
        <v>25</v>
      </c>
      <c r="D19" s="16" t="s">
        <v>48</v>
      </c>
    </row>
    <row r="20" spans="3:4" ht="18.75" x14ac:dyDescent="0.3">
      <c r="C20" s="3" t="s">
        <v>26</v>
      </c>
      <c r="D20" s="26">
        <v>175823</v>
      </c>
    </row>
    <row r="21" spans="3:4" ht="18.75" x14ac:dyDescent="0.3">
      <c r="C21" s="4" t="s">
        <v>27</v>
      </c>
      <c r="D21" s="27" t="s">
        <v>85</v>
      </c>
    </row>
    <row r="23" spans="3:4" ht="17.25" x14ac:dyDescent="0.25">
      <c r="C23" s="6" t="s">
        <v>82</v>
      </c>
    </row>
    <row r="24" spans="3:4" ht="18.75" x14ac:dyDescent="0.3">
      <c r="C24" s="2" t="s">
        <v>25</v>
      </c>
      <c r="D24" s="16" t="s">
        <v>58</v>
      </c>
    </row>
    <row r="25" spans="3:4" ht="18.75" x14ac:dyDescent="0.3">
      <c r="C25" s="3" t="s">
        <v>26</v>
      </c>
      <c r="D25" s="26">
        <v>254234.3</v>
      </c>
    </row>
    <row r="26" spans="3:4" ht="18.75" x14ac:dyDescent="0.3">
      <c r="C26" s="4" t="s">
        <v>27</v>
      </c>
      <c r="D26" s="27" t="s">
        <v>86</v>
      </c>
    </row>
    <row r="28" spans="3:4" ht="17.25" x14ac:dyDescent="0.25">
      <c r="C28" s="6" t="s">
        <v>88</v>
      </c>
    </row>
    <row r="29" spans="3:4" ht="18.75" x14ac:dyDescent="0.3">
      <c r="C29" s="2" t="s">
        <v>25</v>
      </c>
      <c r="D29" s="16" t="s">
        <v>46</v>
      </c>
    </row>
    <row r="30" spans="3:4" ht="18.75" x14ac:dyDescent="0.3">
      <c r="C30" s="3" t="s">
        <v>26</v>
      </c>
      <c r="D30" s="26">
        <v>34399.9</v>
      </c>
    </row>
    <row r="31" spans="3:4" ht="18.75" x14ac:dyDescent="0.3">
      <c r="C31" s="4" t="s">
        <v>27</v>
      </c>
      <c r="D31" s="27" t="s">
        <v>87</v>
      </c>
    </row>
  </sheetData>
  <sheetProtection sheet="1" objects="1" scenarios="1" insertHyperlinks="0" selectLockedCells="1" pivotTables="0"/>
  <mergeCells count="2">
    <mergeCell ref="C4:D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Escolha uma das unidades bancárias listadas." promptTitle="Informe banco " prompt="Informe um banco vinculado ao seu CPF." xr:uid="{900F0E47-251E-49DB-A355-3548DDBB3B09}">
          <x14:formula1>
            <xm:f>TABELAS!$A$2:$A$51</xm:f>
          </x14:formula1>
          <xm:sqref>D9 D14 D19 D24 D29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B038-0CA0-4326-A503-819D5A70D7DD}">
  <dimension ref="C3:E44"/>
  <sheetViews>
    <sheetView showGridLines="0" showRowColHeaders="0" workbookViewId="0">
      <selection activeCell="C8" sqref="C8"/>
    </sheetView>
  </sheetViews>
  <sheetFormatPr defaultRowHeight="15" x14ac:dyDescent="0.25"/>
  <cols>
    <col min="1" max="1" width="42.140625" customWidth="1"/>
    <col min="3" max="5" width="36.28515625" customWidth="1"/>
  </cols>
  <sheetData>
    <row r="3" spans="3:5" ht="20.25" thickBot="1" x14ac:dyDescent="0.3">
      <c r="C3" s="12" t="s">
        <v>90</v>
      </c>
      <c r="D3" s="12"/>
      <c r="E3" s="12"/>
    </row>
    <row r="4" spans="3:5" ht="21" customHeight="1" thickTop="1" x14ac:dyDescent="0.25">
      <c r="C4" s="13" t="s">
        <v>91</v>
      </c>
      <c r="D4" s="13"/>
      <c r="E4" s="13"/>
    </row>
    <row r="5" spans="3:5" ht="21.75" thickBot="1" x14ac:dyDescent="0.3">
      <c r="E5" s="8" t="s">
        <v>89</v>
      </c>
    </row>
    <row r="6" spans="3:5" ht="29.25" customHeight="1" thickBot="1" x14ac:dyDescent="0.3">
      <c r="E6" s="9">
        <f>SUM(Tabela2[VALOR])</f>
        <v>254433</v>
      </c>
    </row>
    <row r="7" spans="3:5" ht="17.25" customHeight="1" x14ac:dyDescent="0.25">
      <c r="C7" s="14" t="s">
        <v>95</v>
      </c>
      <c r="D7" s="14"/>
      <c r="E7" s="14"/>
    </row>
    <row r="8" spans="3:5" ht="18.75" x14ac:dyDescent="0.25">
      <c r="C8" s="28" t="s">
        <v>92</v>
      </c>
      <c r="D8" s="28" t="s">
        <v>93</v>
      </c>
      <c r="E8" s="28" t="s">
        <v>94</v>
      </c>
    </row>
    <row r="9" spans="3:5" ht="15.75" x14ac:dyDescent="0.25">
      <c r="C9" s="29">
        <v>46023</v>
      </c>
      <c r="D9" s="30" t="s">
        <v>96</v>
      </c>
      <c r="E9" s="31">
        <v>4000</v>
      </c>
    </row>
    <row r="10" spans="3:5" ht="15.75" x14ac:dyDescent="0.25">
      <c r="C10" s="29">
        <v>46032</v>
      </c>
      <c r="D10" s="30" t="s">
        <v>98</v>
      </c>
      <c r="E10" s="31">
        <v>1000</v>
      </c>
    </row>
    <row r="11" spans="3:5" ht="15.75" x14ac:dyDescent="0.25">
      <c r="C11" s="29">
        <v>46062</v>
      </c>
      <c r="D11" s="30" t="s">
        <v>96</v>
      </c>
      <c r="E11" s="31">
        <v>90500</v>
      </c>
    </row>
    <row r="12" spans="3:5" ht="15.75" x14ac:dyDescent="0.25">
      <c r="C12" s="29">
        <v>46091</v>
      </c>
      <c r="D12" s="30" t="s">
        <v>97</v>
      </c>
      <c r="E12" s="31">
        <v>3453</v>
      </c>
    </row>
    <row r="13" spans="3:5" ht="15.75" x14ac:dyDescent="0.25">
      <c r="C13" s="29">
        <v>46123</v>
      </c>
      <c r="D13" s="30" t="s">
        <v>97</v>
      </c>
      <c r="E13" s="31">
        <v>76876</v>
      </c>
    </row>
    <row r="14" spans="3:5" ht="15.75" x14ac:dyDescent="0.25">
      <c r="C14" s="29">
        <v>46154</v>
      </c>
      <c r="D14" s="30" t="s">
        <v>98</v>
      </c>
      <c r="E14" s="31">
        <v>7676</v>
      </c>
    </row>
    <row r="15" spans="3:5" ht="15.75" x14ac:dyDescent="0.25">
      <c r="C15" s="29">
        <v>46183</v>
      </c>
      <c r="D15" s="30" t="s">
        <v>98</v>
      </c>
      <c r="E15" s="31">
        <v>552</v>
      </c>
    </row>
    <row r="16" spans="3:5" ht="15.75" x14ac:dyDescent="0.25">
      <c r="C16" s="29">
        <v>46184</v>
      </c>
      <c r="D16" s="30" t="s">
        <v>98</v>
      </c>
      <c r="E16" s="31">
        <v>34343</v>
      </c>
    </row>
    <row r="17" spans="3:5" ht="15.75" x14ac:dyDescent="0.25">
      <c r="C17" s="29">
        <v>46213</v>
      </c>
      <c r="D17" s="30" t="s">
        <v>96</v>
      </c>
      <c r="E17" s="31">
        <v>4000</v>
      </c>
    </row>
    <row r="18" spans="3:5" ht="15.75" x14ac:dyDescent="0.25">
      <c r="C18" s="29">
        <v>46235</v>
      </c>
      <c r="D18" s="30" t="s">
        <v>97</v>
      </c>
      <c r="E18" s="31">
        <v>5030</v>
      </c>
    </row>
    <row r="19" spans="3:5" ht="15.75" x14ac:dyDescent="0.25">
      <c r="C19" s="29">
        <v>46266</v>
      </c>
      <c r="D19" s="30" t="s">
        <v>96</v>
      </c>
      <c r="E19" s="31">
        <v>4000</v>
      </c>
    </row>
    <row r="20" spans="3:5" ht="15.75" x14ac:dyDescent="0.25">
      <c r="C20" s="29">
        <v>46296</v>
      </c>
      <c r="D20" s="30" t="s">
        <v>98</v>
      </c>
      <c r="E20" s="31">
        <v>4003</v>
      </c>
    </row>
    <row r="21" spans="3:5" ht="15.75" x14ac:dyDescent="0.25">
      <c r="C21" s="29">
        <v>46305</v>
      </c>
      <c r="D21" s="30" t="s">
        <v>96</v>
      </c>
      <c r="E21" s="31">
        <v>4000</v>
      </c>
    </row>
    <row r="22" spans="3:5" ht="15.75" x14ac:dyDescent="0.25">
      <c r="C22" s="29">
        <v>46309</v>
      </c>
      <c r="D22" s="30" t="s">
        <v>97</v>
      </c>
      <c r="E22" s="31">
        <v>2000</v>
      </c>
    </row>
    <row r="23" spans="3:5" ht="15.75" x14ac:dyDescent="0.25">
      <c r="C23" s="29">
        <v>46336</v>
      </c>
      <c r="D23" s="30" t="s">
        <v>96</v>
      </c>
      <c r="E23" s="31">
        <v>4000</v>
      </c>
    </row>
    <row r="24" spans="3:5" ht="15.75" x14ac:dyDescent="0.25">
      <c r="C24" s="29">
        <v>46341</v>
      </c>
      <c r="D24" s="30" t="s">
        <v>97</v>
      </c>
      <c r="E24" s="31">
        <v>5000</v>
      </c>
    </row>
    <row r="25" spans="3:5" ht="15.75" x14ac:dyDescent="0.25">
      <c r="C25" s="29">
        <v>46366</v>
      </c>
      <c r="D25" s="30" t="s">
        <v>96</v>
      </c>
      <c r="E25" s="31">
        <v>4000</v>
      </c>
    </row>
    <row r="26" spans="3:5" ht="15.75" x14ac:dyDescent="0.25">
      <c r="C26" s="29"/>
      <c r="D26" s="30"/>
      <c r="E26" s="31">
        <v>0</v>
      </c>
    </row>
    <row r="27" spans="3:5" ht="15.75" x14ac:dyDescent="0.25">
      <c r="C27" s="29"/>
      <c r="D27" s="30"/>
      <c r="E27" s="31">
        <v>0</v>
      </c>
    </row>
    <row r="28" spans="3:5" ht="15.75" x14ac:dyDescent="0.25">
      <c r="C28" s="29"/>
      <c r="D28" s="30"/>
      <c r="E28" s="31">
        <v>0</v>
      </c>
    </row>
    <row r="29" spans="3:5" ht="15.75" x14ac:dyDescent="0.25">
      <c r="C29" s="29"/>
      <c r="D29" s="30"/>
      <c r="E29" s="31">
        <v>0</v>
      </c>
    </row>
    <row r="30" spans="3:5" ht="15.75" x14ac:dyDescent="0.25">
      <c r="C30" s="29"/>
      <c r="D30" s="30"/>
      <c r="E30" s="31">
        <v>0</v>
      </c>
    </row>
    <row r="31" spans="3:5" ht="15.75" x14ac:dyDescent="0.25">
      <c r="C31" s="29"/>
      <c r="D31" s="30"/>
      <c r="E31" s="31">
        <v>0</v>
      </c>
    </row>
    <row r="32" spans="3:5" ht="15.75" x14ac:dyDescent="0.25">
      <c r="C32" s="29"/>
      <c r="D32" s="30"/>
      <c r="E32" s="31">
        <v>0</v>
      </c>
    </row>
    <row r="33" spans="3:5" ht="15.75" x14ac:dyDescent="0.25">
      <c r="C33" s="29"/>
      <c r="D33" s="30"/>
      <c r="E33" s="31">
        <v>0</v>
      </c>
    </row>
    <row r="34" spans="3:5" ht="15.75" x14ac:dyDescent="0.25">
      <c r="C34" s="29"/>
      <c r="D34" s="30"/>
      <c r="E34" s="31">
        <v>0</v>
      </c>
    </row>
    <row r="35" spans="3:5" ht="15.75" x14ac:dyDescent="0.25">
      <c r="C35" s="29"/>
      <c r="D35" s="30"/>
      <c r="E35" s="31">
        <v>0</v>
      </c>
    </row>
    <row r="36" spans="3:5" ht="15.75" x14ac:dyDescent="0.25">
      <c r="C36" s="29"/>
      <c r="D36" s="30"/>
      <c r="E36" s="31">
        <v>0</v>
      </c>
    </row>
    <row r="37" spans="3:5" ht="15.75" x14ac:dyDescent="0.25">
      <c r="C37" s="29"/>
      <c r="D37" s="30"/>
      <c r="E37" s="31">
        <v>0</v>
      </c>
    </row>
    <row r="38" spans="3:5" ht="15.75" x14ac:dyDescent="0.25">
      <c r="C38" s="29"/>
      <c r="D38" s="30"/>
      <c r="E38" s="31">
        <v>0</v>
      </c>
    </row>
    <row r="39" spans="3:5" ht="15.75" x14ac:dyDescent="0.25">
      <c r="C39" s="29"/>
      <c r="D39" s="30"/>
      <c r="E39" s="31">
        <v>0</v>
      </c>
    </row>
    <row r="40" spans="3:5" ht="15.75" x14ac:dyDescent="0.25">
      <c r="C40" s="29"/>
      <c r="D40" s="30"/>
      <c r="E40" s="31">
        <v>0</v>
      </c>
    </row>
    <row r="41" spans="3:5" ht="15.75" x14ac:dyDescent="0.25">
      <c r="C41" s="29"/>
      <c r="D41" s="30"/>
      <c r="E41" s="31">
        <v>0</v>
      </c>
    </row>
    <row r="42" spans="3:5" ht="15.75" x14ac:dyDescent="0.25">
      <c r="C42" s="29"/>
      <c r="D42" s="30"/>
      <c r="E42" s="31">
        <v>0</v>
      </c>
    </row>
    <row r="43" spans="3:5" ht="15.75" x14ac:dyDescent="0.25">
      <c r="C43" s="29"/>
      <c r="D43" s="30"/>
      <c r="E43" s="31">
        <v>0</v>
      </c>
    </row>
    <row r="44" spans="3:5" ht="15.75" x14ac:dyDescent="0.25">
      <c r="C44" s="29"/>
      <c r="D44" s="30"/>
      <c r="E44" s="31">
        <v>0</v>
      </c>
    </row>
  </sheetData>
  <sheetProtection sheet="1" objects="1" scenarios="1" selectLockedCells="1" sort="0" autoFilter="0" pivotTables="0"/>
  <mergeCells count="3">
    <mergeCell ref="C3:E3"/>
    <mergeCell ref="C4:E4"/>
    <mergeCell ref="C7:E7"/>
  </mergeCells>
  <dataValidations count="1">
    <dataValidation type="list" allowBlank="1" showInputMessage="1" showErrorMessage="1" sqref="D9:D44" xr:uid="{6F2D9D93-8082-42A8-B463-FD788CA39A9F}">
      <formula1>"Holerite,PJ,FreeLance"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245B-AF23-47DA-B1E6-1A87A1834372}">
  <dimension ref="B3:H47"/>
  <sheetViews>
    <sheetView showGridLines="0" workbookViewId="0">
      <selection activeCell="E12" sqref="E12"/>
    </sheetView>
  </sheetViews>
  <sheetFormatPr defaultRowHeight="15" x14ac:dyDescent="0.25"/>
  <cols>
    <col min="1" max="1" width="42.140625" customWidth="1"/>
    <col min="2" max="2" width="32.28515625" customWidth="1"/>
    <col min="3" max="3" width="22" bestFit="1" customWidth="1"/>
    <col min="4" max="4" width="12.5703125" bestFit="1" customWidth="1"/>
    <col min="5" max="5" width="11.7109375" bestFit="1" customWidth="1"/>
    <col min="6" max="6" width="10.7109375" bestFit="1" customWidth="1"/>
    <col min="7" max="8" width="11.7109375" bestFit="1" customWidth="1"/>
    <col min="9" max="10" width="6" bestFit="1" customWidth="1"/>
    <col min="11" max="11" width="10.7109375" bestFit="1" customWidth="1"/>
  </cols>
  <sheetData>
    <row r="3" spans="2:8" ht="19.5" x14ac:dyDescent="0.25">
      <c r="B3" s="33"/>
      <c r="C3" s="35" t="s">
        <v>103</v>
      </c>
      <c r="D3" s="35"/>
      <c r="E3" s="35"/>
      <c r="F3" s="35"/>
      <c r="G3" s="35"/>
      <c r="H3" s="33"/>
    </row>
    <row r="4" spans="2:8" ht="21" customHeight="1" x14ac:dyDescent="0.25">
      <c r="B4" s="33"/>
      <c r="C4" s="36"/>
      <c r="D4" s="36"/>
      <c r="E4" s="36"/>
      <c r="F4" s="36"/>
      <c r="G4" s="36"/>
      <c r="H4" s="33"/>
    </row>
    <row r="5" spans="2:8" ht="21" customHeight="1" x14ac:dyDescent="0.25">
      <c r="B5" s="33"/>
      <c r="C5" s="33"/>
      <c r="D5" s="33"/>
      <c r="E5" s="33"/>
      <c r="F5" s="33"/>
      <c r="G5" s="33"/>
      <c r="H5" s="33"/>
    </row>
    <row r="6" spans="2:8" ht="21" customHeight="1" x14ac:dyDescent="0.25">
      <c r="B6" s="33"/>
      <c r="C6" s="33"/>
      <c r="D6" s="33"/>
      <c r="E6" s="33"/>
      <c r="F6" s="33"/>
      <c r="G6" s="33"/>
      <c r="H6" s="33"/>
    </row>
    <row r="7" spans="2:8" ht="19.5" hidden="1" customHeight="1" x14ac:dyDescent="0.25">
      <c r="B7" s="33"/>
      <c r="C7" s="37" t="s">
        <v>107</v>
      </c>
      <c r="D7" s="33" t="s" vm="1">
        <v>108</v>
      </c>
      <c r="E7" s="33"/>
      <c r="F7" s="33"/>
      <c r="G7" s="33"/>
      <c r="H7" s="33"/>
    </row>
    <row r="8" spans="2:8" ht="19.5" hidden="1" customHeight="1" x14ac:dyDescent="0.25">
      <c r="B8" s="33"/>
      <c r="C8" s="37" t="s">
        <v>109</v>
      </c>
      <c r="D8" s="33" t="s" vm="2">
        <v>108</v>
      </c>
      <c r="E8" s="38"/>
      <c r="F8" s="33"/>
      <c r="G8" s="33"/>
      <c r="H8" s="33"/>
    </row>
    <row r="9" spans="2:8" ht="19.5" hidden="1" customHeight="1" x14ac:dyDescent="0.25">
      <c r="B9" s="33"/>
      <c r="C9" s="37" t="s">
        <v>110</v>
      </c>
      <c r="D9" s="33" t="s" vm="3">
        <v>108</v>
      </c>
      <c r="E9" s="33"/>
      <c r="F9" s="33"/>
      <c r="G9" s="33"/>
      <c r="H9" s="33"/>
    </row>
    <row r="10" spans="2:8" ht="24.75" customHeight="1" x14ac:dyDescent="0.25">
      <c r="B10" s="33"/>
      <c r="C10" s="33"/>
      <c r="D10" s="33"/>
      <c r="E10" s="33"/>
      <c r="F10" s="33"/>
      <c r="G10" s="33"/>
      <c r="H10" s="33"/>
    </row>
    <row r="11" spans="2:8" ht="15.75" x14ac:dyDescent="0.25">
      <c r="B11" s="33"/>
      <c r="C11" s="39" t="s">
        <v>102</v>
      </c>
      <c r="D11" s="39" t="s">
        <v>100</v>
      </c>
      <c r="E11" s="40"/>
      <c r="F11" s="40"/>
      <c r="G11" s="40"/>
    </row>
    <row r="12" spans="2:8" ht="15.75" x14ac:dyDescent="0.25">
      <c r="B12" s="33"/>
      <c r="C12" s="41" t="s">
        <v>111</v>
      </c>
      <c r="D12" s="32" t="s">
        <v>104</v>
      </c>
      <c r="E12" s="32" t="s">
        <v>105</v>
      </c>
      <c r="F12" s="32" t="s">
        <v>106</v>
      </c>
      <c r="G12" s="32" t="s">
        <v>101</v>
      </c>
    </row>
    <row r="13" spans="2:8" x14ac:dyDescent="0.25">
      <c r="B13" s="33"/>
      <c r="C13" s="42" t="s">
        <v>98</v>
      </c>
      <c r="D13" s="34">
        <v>1000</v>
      </c>
      <c r="E13" s="34">
        <v>42571</v>
      </c>
      <c r="F13" s="34">
        <v>4003</v>
      </c>
      <c r="G13" s="34">
        <v>47574</v>
      </c>
    </row>
    <row r="14" spans="2:8" x14ac:dyDescent="0.25">
      <c r="B14" s="33"/>
      <c r="C14" s="42" t="s">
        <v>101</v>
      </c>
      <c r="D14" s="34">
        <v>1000</v>
      </c>
      <c r="E14" s="34">
        <v>42571</v>
      </c>
      <c r="F14" s="34">
        <v>4003</v>
      </c>
      <c r="G14" s="34">
        <v>47574</v>
      </c>
    </row>
    <row r="15" spans="2:8" x14ac:dyDescent="0.25">
      <c r="B15" s="33"/>
    </row>
    <row r="16" spans="2:8" x14ac:dyDescent="0.25">
      <c r="B16" s="33"/>
    </row>
    <row r="17" spans="2:8" x14ac:dyDescent="0.25">
      <c r="B17" s="33"/>
      <c r="C17" s="33"/>
      <c r="D17" s="33"/>
      <c r="E17" s="33"/>
      <c r="F17" s="33"/>
      <c r="G17" s="33"/>
      <c r="H17" s="33"/>
    </row>
    <row r="18" spans="2:8" x14ac:dyDescent="0.25">
      <c r="B18" s="33"/>
      <c r="C18" s="33"/>
      <c r="D18" s="33"/>
      <c r="E18" s="33"/>
      <c r="F18" s="33"/>
      <c r="G18" s="33"/>
      <c r="H18" s="33"/>
    </row>
    <row r="19" spans="2:8" x14ac:dyDescent="0.25">
      <c r="B19" s="33"/>
      <c r="C19" s="33"/>
      <c r="D19" s="33"/>
      <c r="E19" s="33"/>
      <c r="F19" s="33"/>
      <c r="G19" s="33"/>
      <c r="H19" s="33"/>
    </row>
    <row r="20" spans="2:8" x14ac:dyDescent="0.25">
      <c r="B20" s="33"/>
      <c r="C20" s="33"/>
      <c r="D20" s="33"/>
      <c r="E20" s="33"/>
      <c r="F20" s="33"/>
      <c r="G20" s="33"/>
      <c r="H20" s="33"/>
    </row>
    <row r="21" spans="2:8" x14ac:dyDescent="0.25">
      <c r="B21" s="33"/>
      <c r="C21" s="33"/>
      <c r="D21" s="33"/>
      <c r="E21" s="33"/>
      <c r="F21" s="33"/>
      <c r="G21" s="33"/>
      <c r="H21" s="33"/>
    </row>
    <row r="22" spans="2:8" x14ac:dyDescent="0.25">
      <c r="B22" s="33"/>
      <c r="C22" s="33"/>
      <c r="D22" s="33"/>
      <c r="E22" s="33"/>
      <c r="F22" s="33"/>
      <c r="G22" s="33"/>
      <c r="H22" s="33"/>
    </row>
    <row r="23" spans="2:8" x14ac:dyDescent="0.25">
      <c r="B23" s="33"/>
      <c r="C23" s="33"/>
      <c r="D23" s="33"/>
      <c r="E23" s="33"/>
      <c r="F23" s="33"/>
      <c r="G23" s="33"/>
      <c r="H23" s="33"/>
    </row>
    <row r="24" spans="2:8" x14ac:dyDescent="0.25">
      <c r="B24" s="33"/>
      <c r="C24" s="33"/>
      <c r="D24" s="33"/>
      <c r="E24" s="33"/>
      <c r="F24" s="33"/>
      <c r="G24" s="33"/>
      <c r="H24" s="33"/>
    </row>
    <row r="25" spans="2:8" x14ac:dyDescent="0.25">
      <c r="B25" s="33"/>
      <c r="C25" s="33"/>
      <c r="D25" s="33"/>
      <c r="E25" s="33"/>
      <c r="F25" s="33"/>
      <c r="G25" s="33"/>
      <c r="H25" s="33"/>
    </row>
    <row r="27" spans="2:8" ht="18.75" x14ac:dyDescent="0.3"/>
    <row r="34" spans="3:5" ht="15.75" x14ac:dyDescent="0.25">
      <c r="E34" s="31"/>
    </row>
    <row r="35" spans="3:5" ht="15.75" x14ac:dyDescent="0.25">
      <c r="E35" s="31"/>
    </row>
    <row r="36" spans="3:5" ht="15.75" x14ac:dyDescent="0.25">
      <c r="E36" s="31"/>
    </row>
    <row r="37" spans="3:5" ht="15.75" x14ac:dyDescent="0.25">
      <c r="E37" s="31"/>
    </row>
    <row r="38" spans="3:5" ht="15.75" x14ac:dyDescent="0.25">
      <c r="E38" s="31"/>
    </row>
    <row r="39" spans="3:5" ht="15.75" x14ac:dyDescent="0.25">
      <c r="E39" s="31"/>
    </row>
    <row r="40" spans="3:5" ht="15.75" x14ac:dyDescent="0.25">
      <c r="E40" s="31"/>
    </row>
    <row r="41" spans="3:5" ht="15.75" x14ac:dyDescent="0.25">
      <c r="E41" s="31"/>
    </row>
    <row r="42" spans="3:5" ht="15.75" x14ac:dyDescent="0.25">
      <c r="C42" s="29"/>
      <c r="D42" s="30"/>
      <c r="E42" s="31"/>
    </row>
    <row r="43" spans="3:5" ht="15.75" x14ac:dyDescent="0.25">
      <c r="C43" s="29"/>
      <c r="D43" s="30"/>
      <c r="E43" s="31"/>
    </row>
    <row r="44" spans="3:5" ht="15.75" x14ac:dyDescent="0.25">
      <c r="C44" s="29"/>
      <c r="D44" s="30"/>
      <c r="E44" s="31"/>
    </row>
    <row r="45" spans="3:5" ht="15.75" x14ac:dyDescent="0.25">
      <c r="C45" s="29"/>
      <c r="D45" s="30"/>
      <c r="E45" s="31"/>
    </row>
    <row r="46" spans="3:5" ht="15.75" x14ac:dyDescent="0.25">
      <c r="C46" s="29"/>
      <c r="D46" s="30"/>
      <c r="E46" s="31"/>
    </row>
    <row r="47" spans="3:5" ht="15.75" x14ac:dyDescent="0.25">
      <c r="C47" s="29"/>
      <c r="D47" s="30"/>
      <c r="E47" s="31"/>
    </row>
  </sheetData>
  <sheetProtection sheet="1" scenarios="1" selectLockedCells="1" sort="0" autoFilter="0" pivotTables="0"/>
  <mergeCells count="2">
    <mergeCell ref="C3:G3"/>
    <mergeCell ref="C4:G4"/>
  </mergeCells>
  <dataValidations disablePrompts="1" count="1">
    <dataValidation type="list" allowBlank="1" showInputMessage="1" showErrorMessage="1" sqref="D42:D47" xr:uid="{D52BE329-75C2-4BF3-B0FE-CD69942F4FEB}">
      <formula1>"Holerite,PJ,FreeLance"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1434-32D1-4051-8D15-27549F02BC43}">
  <dimension ref="A1:F51"/>
  <sheetViews>
    <sheetView showGridLines="0" workbookViewId="0">
      <selection activeCell="F3" sqref="F3"/>
    </sheetView>
  </sheetViews>
  <sheetFormatPr defaultRowHeight="15" x14ac:dyDescent="0.25"/>
  <cols>
    <col min="1" max="1" width="38.5703125" bestFit="1" customWidth="1"/>
    <col min="5" max="5" width="30.28515625" customWidth="1"/>
    <col min="6" max="6" width="16.85546875" customWidth="1"/>
  </cols>
  <sheetData>
    <row r="1" spans="1:6" ht="18.75" x14ac:dyDescent="0.25">
      <c r="A1" s="5" t="s">
        <v>78</v>
      </c>
      <c r="E1" s="15" t="s">
        <v>99</v>
      </c>
      <c r="F1" s="15"/>
    </row>
    <row r="2" spans="1:6" x14ac:dyDescent="0.25">
      <c r="A2" t="s">
        <v>28</v>
      </c>
      <c r="E2" s="5" t="str">
        <f>Informes!C9</f>
        <v>BANCO</v>
      </c>
      <c r="F2" s="5" t="str">
        <f>Informes!C10</f>
        <v>VALOR ATUAL</v>
      </c>
    </row>
    <row r="3" spans="1:6" x14ac:dyDescent="0.25">
      <c r="A3" t="s">
        <v>29</v>
      </c>
      <c r="E3" s="33" t="str">
        <f>Informes!D9</f>
        <v>37 - Banco do Estado do Pará</v>
      </c>
      <c r="F3" s="34">
        <f>Informes!D10</f>
        <v>95428</v>
      </c>
    </row>
    <row r="4" spans="1:6" x14ac:dyDescent="0.25">
      <c r="A4" t="s">
        <v>30</v>
      </c>
      <c r="E4" s="33" t="str">
        <f>Informes!D14</f>
        <v>336 - C6 Bank</v>
      </c>
      <c r="F4" s="34">
        <f>Informes!D15</f>
        <v>70012.34</v>
      </c>
    </row>
    <row r="5" spans="1:6" x14ac:dyDescent="0.25">
      <c r="A5" t="s">
        <v>31</v>
      </c>
      <c r="E5" s="33" t="str">
        <f>Informes!D19</f>
        <v>341 - Itaú Unibanco</v>
      </c>
      <c r="F5" s="34">
        <f>Informes!D20</f>
        <v>175823</v>
      </c>
    </row>
    <row r="6" spans="1:6" x14ac:dyDescent="0.25">
      <c r="A6" t="s">
        <v>32</v>
      </c>
      <c r="E6" s="33" t="str">
        <f>Informes!D24</f>
        <v>600 - Banco Luso Brasileiro</v>
      </c>
      <c r="F6" s="34">
        <f>Informes!D25</f>
        <v>254234.3</v>
      </c>
    </row>
    <row r="7" spans="1:6" x14ac:dyDescent="0.25">
      <c r="A7" t="s">
        <v>33</v>
      </c>
      <c r="E7" s="33" t="str">
        <f>Informes!D29</f>
        <v>33 - Banco Santander</v>
      </c>
      <c r="F7" s="34">
        <f>Informes!D30</f>
        <v>34399.9</v>
      </c>
    </row>
    <row r="8" spans="1:6" x14ac:dyDescent="0.25">
      <c r="A8" t="s">
        <v>34</v>
      </c>
    </row>
    <row r="9" spans="1:6" x14ac:dyDescent="0.25">
      <c r="A9" t="s">
        <v>35</v>
      </c>
    </row>
    <row r="10" spans="1:6" x14ac:dyDescent="0.25">
      <c r="A10" t="s">
        <v>36</v>
      </c>
    </row>
    <row r="11" spans="1:6" x14ac:dyDescent="0.25">
      <c r="A11" t="s">
        <v>37</v>
      </c>
    </row>
    <row r="12" spans="1:6" x14ac:dyDescent="0.25">
      <c r="A12" t="s">
        <v>38</v>
      </c>
    </row>
    <row r="13" spans="1:6" x14ac:dyDescent="0.25">
      <c r="A13" t="s">
        <v>39</v>
      </c>
    </row>
    <row r="14" spans="1:6" x14ac:dyDescent="0.25">
      <c r="A14" t="s">
        <v>40</v>
      </c>
    </row>
    <row r="15" spans="1:6" x14ac:dyDescent="0.25">
      <c r="A15" t="s">
        <v>41</v>
      </c>
    </row>
    <row r="16" spans="1:6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sheetProtection sheet="1" objects="1" scenarios="1" selectLockedCells="1"/>
  <mergeCells count="1">
    <mergeCell ref="E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2FE991A-2139-4281-BE87-CF63B0225BB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F596D3C-F0FB-439D-9A04-7F8D415E99AE}">
  <ds:schemaRefs/>
</ds:datastoreItem>
</file>

<file path=customXml/itemProps3.xml><?xml version="1.0" encoding="utf-8"?>
<ds:datastoreItem xmlns:ds="http://schemas.openxmlformats.org/officeDocument/2006/customXml" ds:itemID="{56C261F7-3039-4E1C-B610-E17154EC98CF}">
  <ds:schemaRefs/>
</ds:datastoreItem>
</file>

<file path=customXml/itemProps4.xml><?xml version="1.0" encoding="utf-8"?>
<ds:datastoreItem xmlns:ds="http://schemas.openxmlformats.org/officeDocument/2006/customXml" ds:itemID="{59E064F9-96B0-455C-8C31-E00FEDE11773}">
  <ds:schemaRefs/>
</ds:datastoreItem>
</file>

<file path=customXml/itemProps5.xml><?xml version="1.0" encoding="utf-8"?>
<ds:datastoreItem xmlns:ds="http://schemas.openxmlformats.org/officeDocument/2006/customXml" ds:itemID="{BE9898F5-1253-443A-B797-0D326717FEC8}">
  <ds:schemaRefs/>
</ds:datastoreItem>
</file>

<file path=customXml/itemProps6.xml><?xml version="1.0" encoding="utf-8"?>
<ds:datastoreItem xmlns:ds="http://schemas.openxmlformats.org/officeDocument/2006/customXml" ds:itemID="{EF48618A-4EF8-48A2-80C1-E71AD08D7616}">
  <ds:schemaRefs/>
</ds:datastoreItem>
</file>

<file path=customXml/itemProps7.xml><?xml version="1.0" encoding="utf-8"?>
<ds:datastoreItem xmlns:ds="http://schemas.openxmlformats.org/officeDocument/2006/customXml" ds:itemID="{A480B4F8-7333-4101-BC2A-3F2663915A08}">
  <ds:schemaRefs/>
</ds:datastoreItem>
</file>

<file path=customXml/itemProps8.xml><?xml version="1.0" encoding="utf-8"?>
<ds:datastoreItem xmlns:ds="http://schemas.openxmlformats.org/officeDocument/2006/customXml" ds:itemID="{31CAB3E7-022F-4D66-9B7B-123E0457EAC5}">
  <ds:schemaRefs/>
</ds:datastoreItem>
</file>

<file path=customXml/itemProps9.xml><?xml version="1.0" encoding="utf-8"?>
<ds:datastoreItem xmlns:ds="http://schemas.openxmlformats.org/officeDocument/2006/customXml" ds:itemID="{EA116632-42AA-453B-9768-87A19D750836}">
  <ds:schemaRefs/>
</ds:datastoreItem>
</file>

<file path=customXml/itemProps10.xml><?xml version="1.0" encoding="utf-8"?>
<ds:datastoreItem xmlns:ds="http://schemas.openxmlformats.org/officeDocument/2006/customXml" ds:itemID="{80C00141-0288-4B8E-BD59-A2CF618CF453}">
  <ds:schemaRefs/>
</ds:datastoreItem>
</file>

<file path=customXml/itemProps11.xml><?xml version="1.0" encoding="utf-8"?>
<ds:datastoreItem xmlns:ds="http://schemas.openxmlformats.org/officeDocument/2006/customXml" ds:itemID="{38F8478D-5B73-4649-8F0D-B513D8D1B3C8}">
  <ds:schemaRefs/>
</ds:datastoreItem>
</file>

<file path=customXml/itemProps12.xml><?xml version="1.0" encoding="utf-8"?>
<ds:datastoreItem xmlns:ds="http://schemas.openxmlformats.org/officeDocument/2006/customXml" ds:itemID="{6EDDE2C5-C8FA-40D1-9561-87D3F21CAC8E}">
  <ds:schemaRefs/>
</ds:datastoreItem>
</file>

<file path=customXml/itemProps13.xml><?xml version="1.0" encoding="utf-8"?>
<ds:datastoreItem xmlns:ds="http://schemas.openxmlformats.org/officeDocument/2006/customXml" ds:itemID="{0F1AA0AF-B615-4FEC-AC1E-AA571190A2F6}">
  <ds:schemaRefs/>
</ds:datastoreItem>
</file>

<file path=customXml/itemProps14.xml><?xml version="1.0" encoding="utf-8"?>
<ds:datastoreItem xmlns:ds="http://schemas.openxmlformats.org/officeDocument/2006/customXml" ds:itemID="{A68E404E-1A74-4EE1-809D-5152D1AEA525}">
  <ds:schemaRefs/>
</ds:datastoreItem>
</file>

<file path=customXml/itemProps15.xml><?xml version="1.0" encoding="utf-8"?>
<ds:datastoreItem xmlns:ds="http://schemas.openxmlformats.org/officeDocument/2006/customXml" ds:itemID="{3034808B-EEFD-43A7-B2DA-2BAFC806ECC5}">
  <ds:schemaRefs/>
</ds:datastoreItem>
</file>

<file path=customXml/itemProps16.xml><?xml version="1.0" encoding="utf-8"?>
<ds:datastoreItem xmlns:ds="http://schemas.openxmlformats.org/officeDocument/2006/customXml" ds:itemID="{08A57185-E7BD-4AD9-8890-EB8D7CD829B5}">
  <ds:schemaRefs/>
</ds:datastoreItem>
</file>

<file path=customXml/itemProps17.xml><?xml version="1.0" encoding="utf-8"?>
<ds:datastoreItem xmlns:ds="http://schemas.openxmlformats.org/officeDocument/2006/customXml" ds:itemID="{D75840FB-1152-4861-A37D-8FAF8EC207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Títular</vt:lpstr>
      <vt:lpstr>Informes</vt:lpstr>
      <vt:lpstr>Notas</vt:lpstr>
      <vt:lpstr>Análise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Monteiro Silva</dc:creator>
  <cp:lastModifiedBy>Alvaro Monteiro Silva</cp:lastModifiedBy>
  <dcterms:created xsi:type="dcterms:W3CDTF">2026-02-09T18:52:51Z</dcterms:created>
  <dcterms:modified xsi:type="dcterms:W3CDTF">2026-02-10T04:52:23Z</dcterms:modified>
</cp:coreProperties>
</file>